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75c19946bd0bdda2/"/>
    </mc:Choice>
  </mc:AlternateContent>
  <xr:revisionPtr revIDLastSave="0" documentId="8_{608D2846-DE33-40BB-BC96-8F3DCFA65214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1 Assumptions" sheetId="1" r:id="rId1"/>
    <sheet name="2 Historical" sheetId="2" r:id="rId2"/>
    <sheet name="3 Forecast FCFF" sheetId="3" r:id="rId3"/>
    <sheet name="4 WACC" sheetId="4" r:id="rId4"/>
    <sheet name="5 DCF Valuation" sheetId="5" r:id="rId5"/>
    <sheet name="6 Sensitivity Dashboard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29" i="6" l="1"/>
  <c r="C29" i="6"/>
  <c r="B29" i="6"/>
  <c r="A23" i="6"/>
  <c r="A22" i="6"/>
  <c r="A21" i="6"/>
  <c r="A20" i="6"/>
  <c r="A19" i="6"/>
  <c r="B15" i="6"/>
  <c r="B14" i="6"/>
  <c r="B12" i="6"/>
  <c r="B8" i="6"/>
  <c r="B25" i="5"/>
  <c r="B10" i="5"/>
  <c r="K5" i="5"/>
  <c r="J5" i="5"/>
  <c r="I5" i="5"/>
  <c r="H5" i="5"/>
  <c r="G5" i="5"/>
  <c r="F5" i="5"/>
  <c r="E5" i="5"/>
  <c r="D5" i="5"/>
  <c r="C5" i="5"/>
  <c r="B5" i="5"/>
  <c r="B18" i="4"/>
  <c r="B17" i="4"/>
  <c r="B16" i="4"/>
  <c r="B15" i="4"/>
  <c r="B11" i="4"/>
  <c r="B10" i="4"/>
  <c r="B12" i="4" s="1"/>
  <c r="B6" i="4"/>
  <c r="B5" i="4"/>
  <c r="B4" i="4"/>
  <c r="B7" i="4" s="1"/>
  <c r="K3" i="3"/>
  <c r="J3" i="3"/>
  <c r="I3" i="3"/>
  <c r="H3" i="3"/>
  <c r="G3" i="3"/>
  <c r="F3" i="3"/>
  <c r="E3" i="3"/>
  <c r="D3" i="3"/>
  <c r="C3" i="3"/>
  <c r="B3" i="3"/>
  <c r="B4" i="3" s="1"/>
  <c r="F28" i="2"/>
  <c r="E28" i="2"/>
  <c r="D28" i="2"/>
  <c r="C28" i="2"/>
  <c r="B28" i="2"/>
  <c r="F27" i="2"/>
  <c r="E27" i="2"/>
  <c r="D27" i="2"/>
  <c r="C27" i="2"/>
  <c r="B27" i="2"/>
  <c r="F26" i="2"/>
  <c r="E26" i="2"/>
  <c r="D26" i="2"/>
  <c r="C26" i="2"/>
  <c r="B26" i="2"/>
  <c r="F25" i="2"/>
  <c r="E25" i="2"/>
  <c r="D25" i="2"/>
  <c r="C25" i="2"/>
  <c r="B25" i="2"/>
  <c r="F24" i="2"/>
  <c r="E24" i="2"/>
  <c r="D24" i="2"/>
  <c r="C24" i="2"/>
  <c r="B24" i="2"/>
  <c r="F23" i="2"/>
  <c r="E23" i="2"/>
  <c r="D23" i="2"/>
  <c r="C23" i="2"/>
  <c r="B23" i="2"/>
  <c r="F18" i="2"/>
  <c r="E18" i="2"/>
  <c r="D18" i="2"/>
  <c r="C18" i="2"/>
  <c r="B18" i="2"/>
  <c r="G11" i="2"/>
  <c r="G10" i="2"/>
  <c r="G9" i="2"/>
  <c r="G8" i="2"/>
  <c r="G7" i="2"/>
  <c r="G6" i="2"/>
  <c r="G5" i="2"/>
  <c r="G4" i="2"/>
  <c r="G3" i="2"/>
  <c r="B23" i="5" l="1"/>
  <c r="B19" i="4"/>
  <c r="B21" i="5"/>
  <c r="B22" i="4"/>
  <c r="B26" i="4" s="1"/>
  <c r="C4" i="3"/>
  <c r="B5" i="3"/>
  <c r="B6" i="3"/>
  <c r="B12" i="3" s="1"/>
  <c r="B13" i="3"/>
  <c r="B20" i="3" s="1"/>
  <c r="B14" i="3"/>
  <c r="B20" i="4" l="1"/>
  <c r="B21" i="4"/>
  <c r="B25" i="4" s="1"/>
  <c r="B27" i="4" s="1"/>
  <c r="D4" i="3"/>
  <c r="C5" i="3"/>
  <c r="C6" i="3"/>
  <c r="C12" i="3" s="1"/>
  <c r="C13" i="3"/>
  <c r="C20" i="3" s="1"/>
  <c r="C14" i="3"/>
  <c r="B7" i="3"/>
  <c r="B18" i="3"/>
  <c r="F18" i="6" l="1"/>
  <c r="E18" i="6"/>
  <c r="D18" i="6"/>
  <c r="C18" i="6"/>
  <c r="B18" i="6"/>
  <c r="B7" i="6"/>
  <c r="K3" i="5"/>
  <c r="J3" i="5"/>
  <c r="I3" i="5"/>
  <c r="H3" i="5"/>
  <c r="G3" i="5"/>
  <c r="F3" i="5"/>
  <c r="E3" i="5"/>
  <c r="D3" i="5"/>
  <c r="C3" i="5"/>
  <c r="B3" i="5"/>
  <c r="E4" i="3"/>
  <c r="D5" i="3"/>
  <c r="D6" i="3"/>
  <c r="D12" i="3" s="1"/>
  <c r="D13" i="3"/>
  <c r="D20" i="3" s="1"/>
  <c r="D14" i="3"/>
  <c r="C7" i="3"/>
  <c r="C18" i="3"/>
  <c r="B8" i="3"/>
  <c r="B9" i="3"/>
  <c r="B15" i="3" s="1"/>
  <c r="B6" i="5" l="1"/>
  <c r="C6" i="5"/>
  <c r="D6" i="5"/>
  <c r="E6" i="5"/>
  <c r="F6" i="5"/>
  <c r="G6" i="5"/>
  <c r="H6" i="5"/>
  <c r="I6" i="5"/>
  <c r="J6" i="5"/>
  <c r="K6" i="5"/>
  <c r="B14" i="5"/>
  <c r="F4" i="3"/>
  <c r="E5" i="3"/>
  <c r="E6" i="3"/>
  <c r="E12" i="3" s="1"/>
  <c r="E13" i="3"/>
  <c r="E20" i="3" s="1"/>
  <c r="E14" i="3"/>
  <c r="D7" i="3"/>
  <c r="D18" i="3"/>
  <c r="C8" i="3"/>
  <c r="C9" i="3"/>
  <c r="C15" i="3" s="1"/>
  <c r="B19" i="3"/>
  <c r="B4" i="5"/>
  <c r="B7" i="5" s="1"/>
  <c r="G4" i="3" l="1"/>
  <c r="F5" i="3"/>
  <c r="F6" i="3"/>
  <c r="F12" i="3" s="1"/>
  <c r="F13" i="3"/>
  <c r="F20" i="3" s="1"/>
  <c r="F14" i="3"/>
  <c r="E7" i="3"/>
  <c r="E18" i="3"/>
  <c r="D8" i="3"/>
  <c r="D9" i="3"/>
  <c r="D15" i="3" s="1"/>
  <c r="C19" i="3"/>
  <c r="C4" i="5"/>
  <c r="C7" i="5" s="1"/>
  <c r="H4" i="3" l="1"/>
  <c r="G5" i="3"/>
  <c r="G6" i="3"/>
  <c r="G12" i="3" s="1"/>
  <c r="G13" i="3"/>
  <c r="G20" i="3" s="1"/>
  <c r="G14" i="3"/>
  <c r="F7" i="3"/>
  <c r="F18" i="3"/>
  <c r="E8" i="3"/>
  <c r="E9" i="3"/>
  <c r="E15" i="3" s="1"/>
  <c r="D19" i="3"/>
  <c r="D4" i="5"/>
  <c r="D7" i="5" s="1"/>
  <c r="I4" i="3" l="1"/>
  <c r="H5" i="3"/>
  <c r="H6" i="3"/>
  <c r="H12" i="3" s="1"/>
  <c r="H13" i="3"/>
  <c r="H20" i="3" s="1"/>
  <c r="H14" i="3"/>
  <c r="G7" i="3"/>
  <c r="G18" i="3"/>
  <c r="F8" i="3"/>
  <c r="F9" i="3"/>
  <c r="F15" i="3" s="1"/>
  <c r="E19" i="3"/>
  <c r="E4" i="5"/>
  <c r="E7" i="5" s="1"/>
  <c r="J4" i="3" l="1"/>
  <c r="I5" i="3"/>
  <c r="I6" i="3"/>
  <c r="I12" i="3" s="1"/>
  <c r="I13" i="3"/>
  <c r="I20" i="3" s="1"/>
  <c r="I14" i="3"/>
  <c r="H7" i="3"/>
  <c r="H18" i="3"/>
  <c r="G8" i="3"/>
  <c r="G9" i="3"/>
  <c r="G15" i="3" s="1"/>
  <c r="F19" i="3"/>
  <c r="F4" i="5"/>
  <c r="F7" i="5" s="1"/>
  <c r="K4" i="3" l="1"/>
  <c r="J5" i="3"/>
  <c r="J6" i="3"/>
  <c r="J12" i="3" s="1"/>
  <c r="J13" i="3"/>
  <c r="J20" i="3" s="1"/>
  <c r="J14" i="3"/>
  <c r="I7" i="3"/>
  <c r="I18" i="3"/>
  <c r="H8" i="3"/>
  <c r="H9" i="3"/>
  <c r="H15" i="3" s="1"/>
  <c r="G19" i="3"/>
  <c r="G4" i="5"/>
  <c r="G7" i="5" s="1"/>
  <c r="K5" i="3" l="1"/>
  <c r="K6" i="3"/>
  <c r="K12" i="3" s="1"/>
  <c r="K13" i="3"/>
  <c r="K20" i="3" s="1"/>
  <c r="K14" i="3"/>
  <c r="J7" i="3"/>
  <c r="J18" i="3"/>
  <c r="I8" i="3"/>
  <c r="I9" i="3"/>
  <c r="I15" i="3" s="1"/>
  <c r="H19" i="3"/>
  <c r="H4" i="5"/>
  <c r="H7" i="5" s="1"/>
  <c r="K7" i="3" l="1"/>
  <c r="K18" i="3"/>
  <c r="J8" i="3"/>
  <c r="J9" i="3"/>
  <c r="J15" i="3" s="1"/>
  <c r="I19" i="3"/>
  <c r="I4" i="5"/>
  <c r="I7" i="5" s="1"/>
  <c r="K8" i="3" l="1"/>
  <c r="K9" i="3"/>
  <c r="K15" i="3" s="1"/>
  <c r="E21" i="6"/>
  <c r="C22" i="6"/>
  <c r="B20" i="6"/>
  <c r="D20" i="6"/>
  <c r="F19" i="6"/>
  <c r="D28" i="6" s="1"/>
  <c r="J19" i="3"/>
  <c r="J4" i="5"/>
  <c r="J7" i="5" s="1"/>
  <c r="F22" i="6"/>
  <c r="K19" i="3" l="1"/>
  <c r="K4" i="5"/>
  <c r="D21" i="6"/>
  <c r="E22" i="6"/>
  <c r="C20" i="6"/>
  <c r="B21" i="6"/>
  <c r="F20" i="6"/>
  <c r="E20" i="6"/>
  <c r="C21" i="6"/>
  <c r="D22" i="6"/>
  <c r="E23" i="6"/>
  <c r="C19" i="6"/>
  <c r="F21" i="6"/>
  <c r="F23" i="6"/>
  <c r="D19" i="6"/>
  <c r="B19" i="6"/>
  <c r="B23" i="6"/>
  <c r="B28" i="6" s="1"/>
  <c r="B22" i="6"/>
  <c r="C23" i="6"/>
  <c r="E19" i="6"/>
  <c r="D23" i="6"/>
  <c r="K7" i="5" l="1"/>
  <c r="B18" i="5" s="1"/>
  <c r="B11" i="5"/>
  <c r="B12" i="5" s="1"/>
  <c r="B13" i="5" s="1"/>
  <c r="B15" i="5" s="1"/>
  <c r="B29" i="5" l="1"/>
  <c r="B19" i="5"/>
  <c r="B20" i="5" s="1"/>
  <c r="B31" i="5"/>
  <c r="B22" i="5" l="1"/>
  <c r="B5" i="6"/>
  <c r="D30" i="6"/>
  <c r="B30" i="6"/>
  <c r="C30" i="6"/>
  <c r="B30" i="5"/>
  <c r="B9" i="6"/>
  <c r="B32" i="5"/>
  <c r="B11" i="6" s="1"/>
  <c r="B10" i="6"/>
  <c r="B24" i="5" l="1"/>
  <c r="B6" i="6"/>
  <c r="B26" i="5" l="1"/>
  <c r="B13" i="6" s="1"/>
  <c r="B4" i="6"/>
  <c r="C28" i="6"/>
</calcChain>
</file>

<file path=xl/sharedStrings.xml><?xml version="1.0" encoding="utf-8"?>
<sst xmlns="http://schemas.openxmlformats.org/spreadsheetml/2006/main" count="262" uniqueCount="191">
  <si>
    <t>STARBUCKS CORPORATION (SBUX) — DCF VALUATION MODEL | KEY ASSUMPTIONS</t>
  </si>
  <si>
    <t>REVENUE GROWTH ASSUMPTIONS</t>
  </si>
  <si>
    <t>Input Value</t>
  </si>
  <si>
    <t>WACC INPUTS</t>
  </si>
  <si>
    <t>FY2025E Revenue Growth Rate</t>
  </si>
  <si>
    <t>Risk-Free Rate (10Y UST)</t>
  </si>
  <si>
    <t>FY2026E Revenue Growth Rate</t>
  </si>
  <si>
    <t>Equity Risk Premium (ERP)</t>
  </si>
  <si>
    <t>FY2027E Revenue Growth Rate</t>
  </si>
  <si>
    <t>Levered Beta (5Y Monthly)</t>
  </si>
  <si>
    <t>FY2028E Revenue Growth Rate</t>
  </si>
  <si>
    <t>Pre-Tax Cost of Debt</t>
  </si>
  <si>
    <t>FY2029E Revenue Growth Rate</t>
  </si>
  <si>
    <t>Effective Tax Rate (for WACC)</t>
  </si>
  <si>
    <t>FY2030E Revenue Growth Rate</t>
  </si>
  <si>
    <t>Total Debt ($M)</t>
  </si>
  <si>
    <t>FY2031E Revenue Growth Rate</t>
  </si>
  <si>
    <t>Cash &amp; Equivalents ($M)</t>
  </si>
  <si>
    <t>FY2032E Revenue Growth Rate</t>
  </si>
  <si>
    <t>Shares Outstanding (M)</t>
  </si>
  <si>
    <t>FY2033E Revenue Growth Rate</t>
  </si>
  <si>
    <t>Current Stock Price ($)</t>
  </si>
  <si>
    <t>FY2034E Revenue Growth Rate</t>
  </si>
  <si>
    <t>Terminal Growth Rate (g)</t>
  </si>
  <si>
    <t>SENSITIVITY RANGES</t>
  </si>
  <si>
    <t>WACC Sensitivity – Low Offset</t>
  </si>
  <si>
    <t>MARGIN ASSUMPTIONS</t>
  </si>
  <si>
    <t>WACC Sensitivity – High Offset</t>
  </si>
  <si>
    <t>EBITDA Margin (% of Revenue)</t>
  </si>
  <si>
    <t>TGR Sensitivity – Low Offset</t>
  </si>
  <si>
    <t>D&amp;A (% of Revenue)</t>
  </si>
  <si>
    <t>TGR Sensitivity – High Offset</t>
  </si>
  <si>
    <t>Capex (% of Revenue)</t>
  </si>
  <si>
    <t>Change in NWC (% of Revenue)</t>
  </si>
  <si>
    <t>Effective Tax Rate</t>
  </si>
  <si>
    <t>STARBUCKS CORPORATION — HISTORICAL FINANCIAL DATA (FY2020–FY2024) | Source: SBUX 10-K / SEC Filings (in $M)</t>
  </si>
  <si>
    <t>Income Statement Metrics</t>
  </si>
  <si>
    <t>FY2020</t>
  </si>
  <si>
    <t>FY2021</t>
  </si>
  <si>
    <t>FY2022</t>
  </si>
  <si>
    <t>FY2023</t>
  </si>
  <si>
    <t>FY2024</t>
  </si>
  <si>
    <t>5Y CAGR</t>
  </si>
  <si>
    <t>Total Net Revenue ($M)</t>
  </si>
  <si>
    <t>EBITDA ($M)</t>
  </si>
  <si>
    <t>Depreciation &amp; Amortization ($M)</t>
  </si>
  <si>
    <t>EBIT (Operating Income) ($M)</t>
  </si>
  <si>
    <t>Interest Expense ($M)</t>
  </si>
  <si>
    <t>EBT (Pre-tax Income) ($M)</t>
  </si>
  <si>
    <t>Taxes ($M)</t>
  </si>
  <si>
    <t>Net Income ($M)</t>
  </si>
  <si>
    <t>EPS – Diluted ($)</t>
  </si>
  <si>
    <t>Cash Flow &amp; Balance Sheet Metrics</t>
  </si>
  <si>
    <t>Notes</t>
  </si>
  <si>
    <t>Capital Expenditures ($M)</t>
  </si>
  <si>
    <t>Source: 10-K / SEC EDGAR</t>
  </si>
  <si>
    <t>Change in Net Working Capital ($M)</t>
  </si>
  <si>
    <t>Net Debt ($M)</t>
  </si>
  <si>
    <t>Shares Outstanding – Diluted (M)</t>
  </si>
  <si>
    <t>Margin &amp; Ratio Analysis (Computed)</t>
  </si>
  <si>
    <t>EBITDA Margin</t>
  </si>
  <si>
    <t>EBIT Margin</t>
  </si>
  <si>
    <t>Net Income Margin</t>
  </si>
  <si>
    <t>Capex / Revenue</t>
  </si>
  <si>
    <t>D&amp;A / Revenue</t>
  </si>
  <si>
    <t>Tax Rate (ETR)</t>
  </si>
  <si>
    <t>STARBUCKS CORPORATION — FORECAST MODEL &amp; FREE CASH FLOW TO FIRM (FY2025E–FY2034E) | All figures in $M</t>
  </si>
  <si>
    <t>Driver / Line Item</t>
  </si>
  <si>
    <t>FY2025E</t>
  </si>
  <si>
    <t>FY2026E</t>
  </si>
  <si>
    <t>FY2027E</t>
  </si>
  <si>
    <t>FY2028E</t>
  </si>
  <si>
    <t>FY2029E</t>
  </si>
  <si>
    <t>FY2030E</t>
  </si>
  <si>
    <t>FY2031E</t>
  </si>
  <si>
    <t>FY2032E</t>
  </si>
  <si>
    <t>FY2033E</t>
  </si>
  <si>
    <t>FY2034E</t>
  </si>
  <si>
    <t>Revenue Growth Rate (%)</t>
  </si>
  <si>
    <t>Taxes on EBIT ($M)</t>
  </si>
  <si>
    <t>NOPAT = EBIT × (1–Tax Rate) ($M)</t>
  </si>
  <si>
    <t>FREE CASH FLOW TO FIRM (FCFF) BRIDGE</t>
  </si>
  <si>
    <t>(+) Depreciation &amp; Amortization ($M)</t>
  </si>
  <si>
    <t>(–) Capital Expenditures ($M)</t>
  </si>
  <si>
    <t>(–) Change in Net Working Capital ($M)</t>
  </si>
  <si>
    <t>FREE CASH FLOW TO FIRM – FCFF ($M)</t>
  </si>
  <si>
    <t>MARGIN CHECKS</t>
  </si>
  <si>
    <t>EBITDA Margin (%)</t>
  </si>
  <si>
    <t>FCFF Margin (%)</t>
  </si>
  <si>
    <t>Capex / Revenue (%)</t>
  </si>
  <si>
    <t>STARBUCKS CORPORATION — WACC CALCULATION | CAPM-Based Cost of Equity</t>
  </si>
  <si>
    <t>STEP 1 — COST OF EQUITY (CAPM)</t>
  </si>
  <si>
    <t>Value</t>
  </si>
  <si>
    <t>Formula Reference</t>
  </si>
  <si>
    <t>Note</t>
  </si>
  <si>
    <t>Risk-Free Rate (Rf)</t>
  </si>
  <si>
    <t>1_Assumptions!B4</t>
  </si>
  <si>
    <t>10Y US Treasury Yield</t>
  </si>
  <si>
    <t>1_Assumptions!B5</t>
  </si>
  <si>
    <t>Damodaran ERP estimate</t>
  </si>
  <si>
    <t>Levered Beta (β)</t>
  </si>
  <si>
    <t>1_Assumptions!B6</t>
  </si>
  <si>
    <t>5Y Monthly vs S&amp;P 500</t>
  </si>
  <si>
    <t>Cost of Equity (Ke) = Rf + β × ERP</t>
  </si>
  <si>
    <t>Rf + Beta x ERP</t>
  </si>
  <si>
    <t>CAPM formula</t>
  </si>
  <si>
    <t>STEP 2 — AFTER-TAX COST OF DEBT</t>
  </si>
  <si>
    <t>Pre-Tax Cost of Debt (Kd)</t>
  </si>
  <si>
    <t>1_Assumptions!B8</t>
  </si>
  <si>
    <t>Blended yield on SBUX bonds</t>
  </si>
  <si>
    <t>1_Assumptions!B9</t>
  </si>
  <si>
    <t>Used for tax shield</t>
  </si>
  <si>
    <t>After-Tax Cost of Debt = Kd × (1–Tax Rate)</t>
  </si>
  <si>
    <t>Kd x (1-Tax)</t>
  </si>
  <si>
    <t>Interest tax shield benefit</t>
  </si>
  <si>
    <t>STEP 3 — CAPITAL STRUCTURE WEIGHTS</t>
  </si>
  <si>
    <t>Value ($M or %)</t>
  </si>
  <si>
    <t>1_Assumptions!B10</t>
  </si>
  <si>
    <t>Book value of debt</t>
  </si>
  <si>
    <t>1_Assumptions!B11</t>
  </si>
  <si>
    <t>Most recent quarter</t>
  </si>
  <si>
    <t>1_Assumptions!B12</t>
  </si>
  <si>
    <t>Diluted share count</t>
  </si>
  <si>
    <t>1_Assumptions!B13</t>
  </si>
  <si>
    <t>Market price for equity value</t>
  </si>
  <si>
    <t>Market Capitalization ($M)</t>
  </si>
  <si>
    <t>Market Cap / (MktCap + Debt)</t>
  </si>
  <si>
    <t>Market-value equity</t>
  </si>
  <si>
    <t>Enterprise Value (Pre-DCF) ($M)</t>
  </si>
  <si>
    <t>For weight calculation</t>
  </si>
  <si>
    <t>Weight of Equity (E/V)</t>
  </si>
  <si>
    <t>Mkt Cap = Shares x Price</t>
  </si>
  <si>
    <t>Market-value weights</t>
  </si>
  <si>
    <t>Weight of Debt (D/V)</t>
  </si>
  <si>
    <t>EV = MktCap + Debt - Cash</t>
  </si>
  <si>
    <t>STEP 4 — WACC CALCULATION</t>
  </si>
  <si>
    <t>Formula</t>
  </si>
  <si>
    <t>Equity Component (Ke × We)</t>
  </si>
  <si>
    <t>Ke x We</t>
  </si>
  <si>
    <t>Debt Component (Kd_AT × Wd)</t>
  </si>
  <si>
    <t>Kd_AT x Wd</t>
  </si>
  <si>
    <t>WACC = Ke×We + Kd_AT×Wd</t>
  </si>
  <si>
    <t>Ke x We + Kd_AT x Wd</t>
  </si>
  <si>
    <t>PRIMARY DISCOUNT RATE</t>
  </si>
  <si>
    <t>STARBUCKS CORPORATION — DCF VALUATION | Unlevered DCF (FCFF Method) | All figures in $M unless noted</t>
  </si>
  <si>
    <t>Line Item</t>
  </si>
  <si>
    <t>WACC (Discount Rate)</t>
  </si>
  <si>
    <t>FCFF ($M)</t>
  </si>
  <si>
    <t>Discount Period (Mid-Year Convention)</t>
  </si>
  <si>
    <t>Discount Factor = 1 / (1+WACC)^t</t>
  </si>
  <si>
    <t>PV of FCFF ($M)</t>
  </si>
  <si>
    <t>TERMINAL VALUE CALCULATION (Gordon Growth Model)</t>
  </si>
  <si>
    <t>FCFF in Terminal Year (FY2034E)</t>
  </si>
  <si>
    <t>FCFF × (1+g) — Normalized Year</t>
  </si>
  <si>
    <t>Terminal Value = FCFF×(1+g) / (WACC–g)</t>
  </si>
  <si>
    <t>Discount Factor at End of Year 10</t>
  </si>
  <si>
    <t>PV of Terminal Value ($M)</t>
  </si>
  <si>
    <t>ENTERPRISE VALUE BRIDGE</t>
  </si>
  <si>
    <t>Sum of PV of FCFFs (FY2025–FY2034)</t>
  </si>
  <si>
    <t>PV of Terminal Value</t>
  </si>
  <si>
    <t>Enterprise Value (EV)</t>
  </si>
  <si>
    <t>(–) Total Net Debt ($M)</t>
  </si>
  <si>
    <t>Equity Value ($M)</t>
  </si>
  <si>
    <t>÷ Diluted Shares Outstanding (M)</t>
  </si>
  <si>
    <t>IMPLIED SHARE PRICE ($)</t>
  </si>
  <si>
    <t>Current Market Price ($)</t>
  </si>
  <si>
    <t>Premium / (Discount) to Market</t>
  </si>
  <si>
    <t>ENTERPRISE VALUE COMPOSITION</t>
  </si>
  <si>
    <t>PV of FCFFs ($M)</t>
  </si>
  <si>
    <t>% of Enterprise Value</t>
  </si>
  <si>
    <t>STARBUCKS CORPORATION (SBUX) — DCF VALUATION DASHBOARD &amp; SENSITIVITY ANALYSIS</t>
  </si>
  <si>
    <t>VALUATION SUMMARY</t>
  </si>
  <si>
    <t>Implied Share Price</t>
  </si>
  <si>
    <t>Enterprise Value ($M)</t>
  </si>
  <si>
    <t>WACC</t>
  </si>
  <si>
    <t>Terminal Growth Rate</t>
  </si>
  <si>
    <t>TV as % of EV</t>
  </si>
  <si>
    <t>Current Market Price</t>
  </si>
  <si>
    <t>Upside / (Downside)</t>
  </si>
  <si>
    <t>FY2024 Revenue ($M)</t>
  </si>
  <si>
    <t>FY2024 EBITDA ($M)</t>
  </si>
  <si>
    <t>SENSITIVITY ANALYSIS — IMPLIED SHARE PRICE ($) vs. WACC &amp; TERMINAL GROWTH RATE</t>
  </si>
  <si>
    <t>WACC →</t>
  </si>
  <si>
    <t>← TGR Row Labels</t>
  </si>
  <si>
    <t>FOOTBALL FIELD — VALUATION RANGE SUMMARY</t>
  </si>
  <si>
    <t>Methodology</t>
  </si>
  <si>
    <t>Low ($)</t>
  </si>
  <si>
    <t>Base ($)</t>
  </si>
  <si>
    <t>High ($)</t>
  </si>
  <si>
    <t>DCF Valuation</t>
  </si>
  <si>
    <t>EV/EBITDA Implied (FY2025E)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</si>
</sst>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%"/>
    <numFmt numFmtId="165" formatCode="\$#,##0.00"/>
    <numFmt numFmtId="166" formatCode="#,##0.0"/>
    <numFmt numFmtId="167" formatCode="0.0"/>
    <numFmt numFmtId="168" formatCode="0.0000"/>
    <numFmt numFmtId="169" formatCode="0.0\x"/>
  </numFmts>
  <fonts count="8" x14ac:knownFonts="1">
    <font>
      <sz val="11"/>
      <color theme="1"/>
      <name val="Calibri"/>
      <family val="2"/>
      <charset val="1"/>
    </font>
    <font>
      <b/>
      <sz val="12"/>
      <color rgb="FFFFFFFF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sz val="10"/>
      <color rgb="FF0000FF"/>
      <name val="Arial"/>
      <family val="2"/>
    </font>
    <font>
      <b/>
      <sz val="10"/>
      <color rgb="FF000000"/>
      <name val="Arial"/>
      <family val="2"/>
    </font>
    <font>
      <sz val="10"/>
      <color rgb="FF008000"/>
      <name val="Arial"/>
      <family val="2"/>
    </font>
    <font>
      <b/>
      <sz val="11"/>
      <color rgb="FFFFFFFF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F4B942"/>
        <bgColor rgb="FFFFCC99"/>
      </patternFill>
    </fill>
    <fill>
      <patternFill patternType="solid">
        <fgColor rgb="FF2E75B6"/>
        <bgColor rgb="FF0066CC"/>
      </patternFill>
    </fill>
    <fill>
      <patternFill patternType="solid">
        <fgColor rgb="FFBDD7EE"/>
        <bgColor rgb="FF99CCFF"/>
      </patternFill>
    </fill>
    <fill>
      <patternFill patternType="solid">
        <fgColor rgb="FFE2EFDA"/>
        <bgColor rgb="FFFFFFCC"/>
      </patternFill>
    </fill>
    <fill>
      <patternFill patternType="solid">
        <fgColor theme="0"/>
        <bgColor rgb="FFFFCC9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3">
    <xf numFmtId="0" fontId="0" fillId="0" borderId="0" xfId="0"/>
    <xf numFmtId="164" fontId="6" fillId="7" borderId="1" xfId="0" applyNumberFormat="1" applyFont="1" applyFill="1" applyBorder="1" applyAlignment="1">
      <alignment horizontal="right" vertical="center"/>
    </xf>
    <xf numFmtId="10" fontId="6" fillId="7" borderId="1" xfId="0" applyNumberFormat="1" applyFont="1" applyFill="1" applyBorder="1" applyAlignment="1">
      <alignment horizontal="right" vertical="center"/>
    </xf>
    <xf numFmtId="3" fontId="6" fillId="7" borderId="1" xfId="0" applyNumberFormat="1" applyFont="1" applyFill="1" applyBorder="1" applyAlignment="1">
      <alignment horizontal="right" vertical="center"/>
    </xf>
    <xf numFmtId="165" fontId="6" fillId="7" borderId="1" xfId="0" applyNumberFormat="1" applyFont="1" applyFill="1" applyBorder="1" applyAlignment="1">
      <alignment horizontal="right" vertical="center"/>
    </xf>
    <xf numFmtId="0" fontId="0" fillId="6" borderId="2" xfId="0" applyFill="1" applyBorder="1"/>
    <xf numFmtId="0" fontId="1" fillId="2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0" fontId="4" fillId="4" borderId="1" xfId="0" applyNumberFormat="1" applyFont="1" applyFill="1" applyBorder="1" applyAlignment="1">
      <alignment horizontal="right" vertical="center"/>
    </xf>
    <xf numFmtId="2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3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center" vertical="center" wrapText="1"/>
    </xf>
    <xf numFmtId="166" fontId="4" fillId="4" borderId="1" xfId="0" applyNumberFormat="1" applyFont="1" applyFill="1" applyBorder="1" applyAlignment="1">
      <alignment horizontal="right" vertical="center"/>
    </xf>
    <xf numFmtId="164" fontId="3" fillId="3" borderId="1" xfId="0" applyNumberFormat="1" applyFont="1" applyFill="1" applyBorder="1" applyAlignment="1">
      <alignment horizontal="right" vertical="center"/>
    </xf>
    <xf numFmtId="166" fontId="3" fillId="3" borderId="1" xfId="0" applyNumberFormat="1" applyFont="1" applyFill="1" applyBorder="1" applyAlignment="1">
      <alignment horizontal="right" vertical="center"/>
    </xf>
    <xf numFmtId="164" fontId="6" fillId="3" borderId="1" xfId="0" applyNumberFormat="1" applyFont="1" applyFill="1" applyBorder="1" applyAlignment="1">
      <alignment horizontal="right" vertical="center"/>
    </xf>
    <xf numFmtId="166" fontId="3" fillId="7" borderId="1" xfId="0" applyNumberFormat="1" applyFont="1" applyFill="1" applyBorder="1" applyAlignment="1">
      <alignment horizontal="right" vertical="center"/>
    </xf>
    <xf numFmtId="166" fontId="2" fillId="2" borderId="1" xfId="0" applyNumberFormat="1" applyFont="1" applyFill="1" applyBorder="1" applyAlignment="1">
      <alignment horizontal="right" vertical="center"/>
    </xf>
    <xf numFmtId="10" fontId="6" fillId="3" borderId="1" xfId="0" applyNumberFormat="1" applyFont="1" applyFill="1" applyBorder="1" applyAlignment="1">
      <alignment horizontal="right" vertical="center"/>
    </xf>
    <xf numFmtId="166" fontId="6" fillId="3" borderId="1" xfId="0" applyNumberFormat="1" applyFont="1" applyFill="1" applyBorder="1" applyAlignment="1">
      <alignment horizontal="right" vertical="center"/>
    </xf>
    <xf numFmtId="165" fontId="6" fillId="3" borderId="1" xfId="0" applyNumberFormat="1" applyFont="1" applyFill="1" applyBorder="1" applyAlignment="1">
      <alignment horizontal="right" vertical="center"/>
    </xf>
    <xf numFmtId="10" fontId="7" fillId="2" borderId="1" xfId="0" applyNumberFormat="1" applyFont="1" applyFill="1" applyBorder="1" applyAlignment="1">
      <alignment horizontal="right" vertical="center"/>
    </xf>
    <xf numFmtId="167" fontId="3" fillId="3" borderId="1" xfId="0" applyNumberFormat="1" applyFont="1" applyFill="1" applyBorder="1" applyAlignment="1">
      <alignment horizontal="right" vertical="center"/>
    </xf>
    <xf numFmtId="168" fontId="3" fillId="3" borderId="1" xfId="0" applyNumberFormat="1" applyFont="1" applyFill="1" applyBorder="1" applyAlignment="1">
      <alignment horizontal="right" vertical="center"/>
    </xf>
    <xf numFmtId="166" fontId="3" fillId="8" borderId="1" xfId="0" applyNumberFormat="1" applyFont="1" applyFill="1" applyBorder="1" applyAlignment="1">
      <alignment horizontal="right" vertical="center"/>
    </xf>
    <xf numFmtId="166" fontId="5" fillId="3" borderId="1" xfId="0" applyNumberFormat="1" applyFont="1" applyFill="1" applyBorder="1" applyAlignment="1">
      <alignment horizontal="right" vertical="center"/>
    </xf>
    <xf numFmtId="166" fontId="5" fillId="7" borderId="1" xfId="0" applyNumberFormat="1" applyFont="1" applyFill="1" applyBorder="1" applyAlignment="1">
      <alignment horizontal="right" vertical="center"/>
    </xf>
    <xf numFmtId="168" fontId="5" fillId="7" borderId="1" xfId="0" applyNumberFormat="1" applyFont="1" applyFill="1" applyBorder="1" applyAlignment="1">
      <alignment horizontal="right" vertical="center"/>
    </xf>
    <xf numFmtId="166" fontId="7" fillId="2" borderId="1" xfId="0" applyNumberFormat="1" applyFont="1" applyFill="1" applyBorder="1" applyAlignment="1">
      <alignment horizontal="right" vertical="center"/>
    </xf>
    <xf numFmtId="3" fontId="3" fillId="3" borderId="1" xfId="0" applyNumberFormat="1" applyFont="1" applyFill="1" applyBorder="1" applyAlignment="1">
      <alignment horizontal="right" vertical="center"/>
    </xf>
    <xf numFmtId="165" fontId="7" fillId="2" borderId="1" xfId="0" applyNumberFormat="1" applyFont="1" applyFill="1" applyBorder="1" applyAlignment="1">
      <alignment horizontal="right" vertical="center"/>
    </xf>
    <xf numFmtId="165" fontId="3" fillId="3" borderId="1" xfId="0" applyNumberFormat="1" applyFont="1" applyFill="1" applyBorder="1" applyAlignment="1">
      <alignment horizontal="right" vertical="center"/>
    </xf>
    <xf numFmtId="164" fontId="3" fillId="8" borderId="1" xfId="0" applyNumberFormat="1" applyFont="1" applyFill="1" applyBorder="1" applyAlignment="1">
      <alignment horizontal="right" vertical="center"/>
    </xf>
    <xf numFmtId="10" fontId="3" fillId="7" borderId="1" xfId="0" applyNumberFormat="1" applyFont="1" applyFill="1" applyBorder="1" applyAlignment="1">
      <alignment horizontal="right" vertical="center"/>
    </xf>
    <xf numFmtId="165" fontId="3" fillId="5" borderId="1" xfId="0" applyNumberFormat="1" applyFont="1" applyFill="1" applyBorder="1" applyAlignment="1">
      <alignment horizontal="right" vertical="center"/>
    </xf>
    <xf numFmtId="169" fontId="3" fillId="3" borderId="1" xfId="0" applyNumberFormat="1" applyFont="1" applyFill="1" applyBorder="1" applyAlignment="1">
      <alignment horizontal="right" vertical="center"/>
    </xf>
    <xf numFmtId="0" fontId="1" fillId="9" borderId="0" xfId="0" applyFont="1" applyFill="1" applyAlignment="1">
      <alignment horizontal="center" vertical="center" wrapText="1"/>
    </xf>
    <xf numFmtId="0" fontId="5" fillId="3" borderId="0" xfId="0" applyFont="1" applyFill="1" applyBorder="1" applyAlignment="1">
      <alignment horizontal="left" vertical="center"/>
    </xf>
    <xf numFmtId="0" fontId="3" fillId="3" borderId="0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4B942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showGridLines="0" tabSelected="1" zoomScaleNormal="100" workbookViewId="0">
      <pane xSplit="1" ySplit="2" topLeftCell="K8" activePane="bottomRight" state="frozen"/>
      <selection pane="topRight" activeCell="B1" sqref="B1"/>
      <selection pane="bottomLeft" activeCell="A3" sqref="A3"/>
      <selection pane="bottomRight" activeCell="B20" sqref="B20"/>
    </sheetView>
  </sheetViews>
  <sheetFormatPr defaultColWidth="8.7109375" defaultRowHeight="15" x14ac:dyDescent="0.25"/>
  <cols>
    <col min="1" max="1" width="38" customWidth="1"/>
    <col min="2" max="2" width="20" customWidth="1"/>
    <col min="3" max="3" width="38" customWidth="1"/>
    <col min="4" max="4" width="20" customWidth="1"/>
  </cols>
  <sheetData>
    <row r="1" spans="1:4" ht="30" customHeight="1" x14ac:dyDescent="0.25">
      <c r="A1" s="6" t="s">
        <v>0</v>
      </c>
      <c r="B1" s="6"/>
      <c r="C1" s="6"/>
      <c r="D1" s="6"/>
    </row>
    <row r="3" spans="1:4" ht="15" customHeight="1" x14ac:dyDescent="0.25">
      <c r="A3" s="7" t="s">
        <v>1</v>
      </c>
      <c r="B3" s="7" t="s">
        <v>2</v>
      </c>
      <c r="C3" s="7" t="s">
        <v>3</v>
      </c>
      <c r="D3" s="7" t="s">
        <v>2</v>
      </c>
    </row>
    <row r="4" spans="1:4" ht="15" customHeight="1" x14ac:dyDescent="0.25">
      <c r="A4" s="8" t="s">
        <v>4</v>
      </c>
      <c r="B4" s="9">
        <v>0.03</v>
      </c>
      <c r="C4" s="8" t="s">
        <v>5</v>
      </c>
      <c r="D4" s="10">
        <v>4.054E-2</v>
      </c>
    </row>
    <row r="5" spans="1:4" ht="15" customHeight="1" x14ac:dyDescent="0.25">
      <c r="A5" s="8" t="s">
        <v>6</v>
      </c>
      <c r="B5" s="9">
        <v>0.05</v>
      </c>
      <c r="C5" s="8" t="s">
        <v>7</v>
      </c>
      <c r="D5" s="10">
        <v>5.5E-2</v>
      </c>
    </row>
    <row r="6" spans="1:4" ht="15" customHeight="1" x14ac:dyDescent="0.25">
      <c r="A6" s="8" t="s">
        <v>8</v>
      </c>
      <c r="B6" s="9">
        <v>0.06</v>
      </c>
      <c r="C6" s="8" t="s">
        <v>9</v>
      </c>
      <c r="D6" s="11">
        <v>0.95</v>
      </c>
    </row>
    <row r="7" spans="1:4" ht="15" customHeight="1" x14ac:dyDescent="0.25">
      <c r="A7" s="8" t="s">
        <v>10</v>
      </c>
      <c r="B7" s="9">
        <v>7.0000000000000007E-2</v>
      </c>
      <c r="C7" s="8" t="s">
        <v>11</v>
      </c>
      <c r="D7" s="10">
        <v>4.5499999999999999E-2</v>
      </c>
    </row>
    <row r="8" spans="1:4" ht="15" customHeight="1" x14ac:dyDescent="0.25">
      <c r="A8" s="8" t="s">
        <v>12</v>
      </c>
      <c r="B8" s="9">
        <v>7.0000000000000007E-2</v>
      </c>
      <c r="C8" s="8" t="s">
        <v>13</v>
      </c>
      <c r="D8" s="9">
        <v>0.248</v>
      </c>
    </row>
    <row r="9" spans="1:4" ht="15" customHeight="1" x14ac:dyDescent="0.25">
      <c r="A9" s="8" t="s">
        <v>14</v>
      </c>
      <c r="B9" s="9">
        <v>0.06</v>
      </c>
      <c r="C9" s="8" t="s">
        <v>15</v>
      </c>
      <c r="D9" s="12">
        <v>23805</v>
      </c>
    </row>
    <row r="10" spans="1:4" ht="15" customHeight="1" x14ac:dyDescent="0.25">
      <c r="A10" s="8" t="s">
        <v>16</v>
      </c>
      <c r="B10" s="9">
        <v>5.5E-2</v>
      </c>
      <c r="C10" s="8" t="s">
        <v>17</v>
      </c>
      <c r="D10" s="12">
        <v>3183</v>
      </c>
    </row>
    <row r="11" spans="1:4" ht="15" customHeight="1" x14ac:dyDescent="0.25">
      <c r="A11" s="8" t="s">
        <v>18</v>
      </c>
      <c r="B11" s="9">
        <v>0.05</v>
      </c>
      <c r="C11" s="8" t="s">
        <v>19</v>
      </c>
      <c r="D11" s="12">
        <v>1132.5999999999999</v>
      </c>
    </row>
    <row r="12" spans="1:4" ht="15" customHeight="1" x14ac:dyDescent="0.25">
      <c r="A12" s="8" t="s">
        <v>20</v>
      </c>
      <c r="B12" s="9">
        <v>4.4999999999999998E-2</v>
      </c>
      <c r="C12" s="8" t="s">
        <v>21</v>
      </c>
      <c r="D12" s="13">
        <v>84</v>
      </c>
    </row>
    <row r="13" spans="1:4" ht="15" customHeight="1" x14ac:dyDescent="0.25">
      <c r="A13" s="8" t="s">
        <v>22</v>
      </c>
      <c r="B13" s="9">
        <v>0.04</v>
      </c>
    </row>
    <row r="14" spans="1:4" ht="15" customHeight="1" x14ac:dyDescent="0.25">
      <c r="A14" s="8" t="s">
        <v>23</v>
      </c>
      <c r="B14" s="9">
        <v>2.5000000000000001E-2</v>
      </c>
      <c r="C14" s="7" t="s">
        <v>24</v>
      </c>
      <c r="D14" s="7" t="s">
        <v>2</v>
      </c>
    </row>
    <row r="15" spans="1:4" ht="15" customHeight="1" x14ac:dyDescent="0.25">
      <c r="C15" s="8" t="s">
        <v>25</v>
      </c>
      <c r="D15" s="9">
        <v>-0.02</v>
      </c>
    </row>
    <row r="16" spans="1:4" ht="15" customHeight="1" x14ac:dyDescent="0.25">
      <c r="A16" s="7" t="s">
        <v>26</v>
      </c>
      <c r="B16" s="7" t="s">
        <v>2</v>
      </c>
      <c r="C16" s="8" t="s">
        <v>27</v>
      </c>
      <c r="D16" s="9">
        <v>0.02</v>
      </c>
    </row>
    <row r="17" spans="1:4" ht="15" customHeight="1" x14ac:dyDescent="0.25">
      <c r="A17" s="8" t="s">
        <v>28</v>
      </c>
      <c r="B17" s="9">
        <v>0.17499999999999999</v>
      </c>
      <c r="C17" s="8" t="s">
        <v>29</v>
      </c>
      <c r="D17" s="9">
        <v>-0.01</v>
      </c>
    </row>
    <row r="18" spans="1:4" ht="15" customHeight="1" x14ac:dyDescent="0.25">
      <c r="A18" s="8" t="s">
        <v>30</v>
      </c>
      <c r="B18" s="9">
        <v>4.2999999999999997E-2</v>
      </c>
      <c r="C18" s="8" t="s">
        <v>31</v>
      </c>
      <c r="D18" s="9">
        <v>0.01</v>
      </c>
    </row>
    <row r="19" spans="1:4" ht="15" customHeight="1" x14ac:dyDescent="0.25">
      <c r="A19" s="8" t="s">
        <v>32</v>
      </c>
      <c r="B19" s="9">
        <v>6.3E-2</v>
      </c>
    </row>
    <row r="20" spans="1:4" ht="15" customHeight="1" x14ac:dyDescent="0.25">
      <c r="A20" s="8" t="s">
        <v>33</v>
      </c>
      <c r="B20" s="9">
        <v>5.0000000000000001E-3</v>
      </c>
    </row>
    <row r="21" spans="1:4" ht="15" customHeight="1" x14ac:dyDescent="0.25">
      <c r="A21" s="8" t="s">
        <v>34</v>
      </c>
      <c r="B21" s="9">
        <v>0.248</v>
      </c>
    </row>
    <row r="23" spans="1:4" ht="15" customHeight="1" x14ac:dyDescent="0.25">
      <c r="A23" s="40"/>
      <c r="B23" s="40"/>
      <c r="C23" s="40"/>
      <c r="D23" s="40"/>
    </row>
    <row r="24" spans="1:4" ht="15" customHeight="1" x14ac:dyDescent="0.25">
      <c r="A24" s="41"/>
      <c r="C24" s="42"/>
    </row>
    <row r="25" spans="1:4" ht="15" customHeight="1" x14ac:dyDescent="0.25">
      <c r="A25" s="41"/>
      <c r="C25" s="42"/>
    </row>
    <row r="26" spans="1:4" ht="15" customHeight="1" x14ac:dyDescent="0.25">
      <c r="A26" s="41"/>
      <c r="C26" s="42"/>
    </row>
  </sheetData>
  <mergeCells count="2">
    <mergeCell ref="A1:D1"/>
    <mergeCell ref="A23:D23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8"/>
  <sheetViews>
    <sheetView showGridLines="0" zoomScaleNormal="100" workbookViewId="0">
      <pane xSplit="1" ySplit="2" topLeftCell="B8" activePane="bottomRight" state="frozen"/>
      <selection pane="topRight" activeCell="B1" sqref="B1"/>
      <selection pane="bottomLeft" activeCell="A3" sqref="A3"/>
      <selection pane="bottomRight" activeCell="B2" sqref="B2"/>
    </sheetView>
  </sheetViews>
  <sheetFormatPr defaultColWidth="8.7109375" defaultRowHeight="15" x14ac:dyDescent="0.25"/>
  <cols>
    <col min="1" max="1" width="34" customWidth="1"/>
    <col min="2" max="7" width="16" customWidth="1"/>
  </cols>
  <sheetData>
    <row r="1" spans="1:7" ht="30" customHeight="1" x14ac:dyDescent="0.25">
      <c r="A1" s="6" t="s">
        <v>35</v>
      </c>
      <c r="B1" s="6"/>
      <c r="C1" s="6"/>
      <c r="D1" s="6"/>
      <c r="E1" s="6"/>
      <c r="F1" s="6"/>
      <c r="G1" s="6"/>
    </row>
    <row r="2" spans="1:7" ht="15" customHeight="1" x14ac:dyDescent="0.25">
      <c r="A2" s="7" t="s">
        <v>36</v>
      </c>
      <c r="B2" s="15" t="s">
        <v>37</v>
      </c>
      <c r="C2" s="15" t="s">
        <v>38</v>
      </c>
      <c r="D2" s="15" t="s">
        <v>39</v>
      </c>
      <c r="E2" s="15" t="s">
        <v>40</v>
      </c>
      <c r="F2" s="15" t="s">
        <v>41</v>
      </c>
      <c r="G2" s="15" t="s">
        <v>42</v>
      </c>
    </row>
    <row r="3" spans="1:7" ht="15" customHeight="1" x14ac:dyDescent="0.25">
      <c r="A3" s="8" t="s">
        <v>43</v>
      </c>
      <c r="B3" s="16">
        <v>23518</v>
      </c>
      <c r="C3" s="16">
        <v>29061</v>
      </c>
      <c r="D3" s="16">
        <v>32250.3</v>
      </c>
      <c r="E3" s="16">
        <v>35975.599999999999</v>
      </c>
      <c r="F3" s="16">
        <v>36176.199999999997</v>
      </c>
      <c r="G3" s="17">
        <f t="shared" ref="G3:G11" si="0">(F3/B3)^(1/4)-1</f>
        <v>0.1136677413054783</v>
      </c>
    </row>
    <row r="4" spans="1:7" ht="15" customHeight="1" x14ac:dyDescent="0.25">
      <c r="A4" s="8" t="s">
        <v>44</v>
      </c>
      <c r="B4" s="16">
        <v>2818</v>
      </c>
      <c r="C4" s="16">
        <v>4847</v>
      </c>
      <c r="D4" s="16">
        <v>5907.9</v>
      </c>
      <c r="E4" s="16">
        <v>6545</v>
      </c>
      <c r="F4" s="16">
        <v>5016</v>
      </c>
      <c r="G4" s="17">
        <f t="shared" si="0"/>
        <v>0.15505891053299981</v>
      </c>
    </row>
    <row r="5" spans="1:7" ht="15" customHeight="1" x14ac:dyDescent="0.25">
      <c r="A5" s="8" t="s">
        <v>45</v>
      </c>
      <c r="B5" s="16">
        <v>1450.3</v>
      </c>
      <c r="C5" s="16">
        <v>1524.1</v>
      </c>
      <c r="D5" s="16">
        <v>1529.4</v>
      </c>
      <c r="E5" s="16">
        <v>1450.3</v>
      </c>
      <c r="F5" s="16">
        <v>1592.4</v>
      </c>
      <c r="G5" s="17">
        <f t="shared" si="0"/>
        <v>2.3643140363699411E-2</v>
      </c>
    </row>
    <row r="6" spans="1:7" ht="15" customHeight="1" x14ac:dyDescent="0.25">
      <c r="A6" s="8" t="s">
        <v>46</v>
      </c>
      <c r="B6" s="16">
        <v>1367.7</v>
      </c>
      <c r="C6" s="16">
        <v>4200.3</v>
      </c>
      <c r="D6" s="16">
        <v>4378.5</v>
      </c>
      <c r="E6" s="16">
        <v>3094.7</v>
      </c>
      <c r="F6" s="16">
        <v>3423.9</v>
      </c>
      <c r="G6" s="17">
        <f t="shared" si="0"/>
        <v>0.2578607226509404</v>
      </c>
    </row>
    <row r="7" spans="1:7" ht="15" customHeight="1" x14ac:dyDescent="0.25">
      <c r="A7" s="8" t="s">
        <v>47</v>
      </c>
      <c r="B7" s="16">
        <v>600.9</v>
      </c>
      <c r="C7" s="16">
        <v>466.1</v>
      </c>
      <c r="D7" s="16">
        <v>468.9</v>
      </c>
      <c r="E7" s="16">
        <v>481.4</v>
      </c>
      <c r="F7" s="16">
        <v>554.4</v>
      </c>
      <c r="G7" s="17">
        <f t="shared" si="0"/>
        <v>-1.9934155065638226E-2</v>
      </c>
    </row>
    <row r="8" spans="1:7" ht="15" customHeight="1" x14ac:dyDescent="0.25">
      <c r="A8" s="8" t="s">
        <v>48</v>
      </c>
      <c r="B8" s="16">
        <v>767.5</v>
      </c>
      <c r="C8" s="16">
        <v>4231.8999999999996</v>
      </c>
      <c r="D8" s="16">
        <v>4378.5</v>
      </c>
      <c r="E8" s="16">
        <v>2507.3000000000002</v>
      </c>
      <c r="F8" s="16">
        <v>2249.8000000000002</v>
      </c>
      <c r="G8" s="17">
        <f t="shared" si="0"/>
        <v>0.30847787049005282</v>
      </c>
    </row>
    <row r="9" spans="1:7" ht="15" customHeight="1" x14ac:dyDescent="0.25">
      <c r="A9" s="8" t="s">
        <v>49</v>
      </c>
      <c r="B9" s="16">
        <v>218.1</v>
      </c>
      <c r="C9" s="16">
        <v>948.5</v>
      </c>
      <c r="D9" s="16">
        <v>1277.2</v>
      </c>
      <c r="E9" s="16">
        <v>650.6</v>
      </c>
      <c r="F9" s="16">
        <v>880.8</v>
      </c>
      <c r="G9" s="17">
        <f t="shared" si="0"/>
        <v>0.41760556718348596</v>
      </c>
    </row>
    <row r="10" spans="1:7" ht="15" customHeight="1" x14ac:dyDescent="0.25">
      <c r="A10" s="8" t="s">
        <v>50</v>
      </c>
      <c r="B10" s="16">
        <v>928.3</v>
      </c>
      <c r="C10" s="16">
        <v>3283.4</v>
      </c>
      <c r="D10" s="16">
        <v>3281.6</v>
      </c>
      <c r="E10" s="16">
        <v>1856.4</v>
      </c>
      <c r="F10" s="16">
        <v>1368.9</v>
      </c>
      <c r="G10" s="17">
        <f t="shared" si="0"/>
        <v>0.10197271957629983</v>
      </c>
    </row>
    <row r="11" spans="1:7" ht="15" customHeight="1" x14ac:dyDescent="0.25">
      <c r="A11" s="8" t="s">
        <v>51</v>
      </c>
      <c r="B11" s="13">
        <v>0.79</v>
      </c>
      <c r="C11" s="13">
        <v>2.83</v>
      </c>
      <c r="D11" s="13">
        <v>2.95</v>
      </c>
      <c r="E11" s="13">
        <v>1.69</v>
      </c>
      <c r="F11" s="13">
        <v>1.24</v>
      </c>
      <c r="G11" s="17">
        <f t="shared" si="0"/>
        <v>0.1193055275327779</v>
      </c>
    </row>
    <row r="12" spans="1:7" ht="7.5" customHeight="1" x14ac:dyDescent="0.25"/>
    <row r="13" spans="1:7" ht="15" customHeight="1" x14ac:dyDescent="0.25">
      <c r="A13" s="7" t="s">
        <v>52</v>
      </c>
      <c r="B13" s="15" t="s">
        <v>37</v>
      </c>
      <c r="C13" s="15" t="s">
        <v>38</v>
      </c>
      <c r="D13" s="15" t="s">
        <v>39</v>
      </c>
      <c r="E13" s="15" t="s">
        <v>40</v>
      </c>
      <c r="F13" s="15" t="s">
        <v>41</v>
      </c>
      <c r="G13" s="15" t="s">
        <v>53</v>
      </c>
    </row>
    <row r="14" spans="1:7" ht="15" customHeight="1" x14ac:dyDescent="0.25">
      <c r="A14" s="8" t="s">
        <v>54</v>
      </c>
      <c r="B14" s="16">
        <v>1444.9</v>
      </c>
      <c r="C14" s="16">
        <v>1470</v>
      </c>
      <c r="D14" s="16">
        <v>1841.3</v>
      </c>
      <c r="E14" s="16">
        <v>2333.6</v>
      </c>
      <c r="F14" s="16">
        <v>2445.6</v>
      </c>
      <c r="G14" s="8" t="s">
        <v>55</v>
      </c>
    </row>
    <row r="15" spans="1:7" ht="15" customHeight="1" x14ac:dyDescent="0.25">
      <c r="A15" s="8" t="s">
        <v>56</v>
      </c>
      <c r="B15" s="16">
        <v>320</v>
      </c>
      <c r="C15" s="16">
        <v>180</v>
      </c>
      <c r="D15" s="16">
        <v>215</v>
      </c>
      <c r="E15" s="16">
        <v>270</v>
      </c>
      <c r="F15" s="16">
        <v>310</v>
      </c>
    </row>
    <row r="16" spans="1:7" ht="15" customHeight="1" x14ac:dyDescent="0.25">
      <c r="A16" s="8" t="s">
        <v>15</v>
      </c>
      <c r="B16" s="16">
        <v>16213</v>
      </c>
      <c r="C16" s="16">
        <v>16557</v>
      </c>
      <c r="D16" s="16">
        <v>17332</v>
      </c>
      <c r="E16" s="16">
        <v>16066</v>
      </c>
      <c r="F16" s="16">
        <v>23805</v>
      </c>
    </row>
    <row r="17" spans="1:6" ht="15" customHeight="1" x14ac:dyDescent="0.25">
      <c r="A17" s="8" t="s">
        <v>17</v>
      </c>
      <c r="B17" s="16">
        <v>2965.6</v>
      </c>
      <c r="C17" s="16">
        <v>3345.4</v>
      </c>
      <c r="D17" s="16">
        <v>3020.7</v>
      </c>
      <c r="E17" s="16">
        <v>3561.8</v>
      </c>
      <c r="F17" s="16">
        <v>3183</v>
      </c>
    </row>
    <row r="18" spans="1:6" ht="15" customHeight="1" x14ac:dyDescent="0.25">
      <c r="A18" s="8" t="s">
        <v>57</v>
      </c>
      <c r="B18" s="18">
        <f>B16-B17</f>
        <v>13247.4</v>
      </c>
      <c r="C18" s="18">
        <f>C16-C17</f>
        <v>13211.6</v>
      </c>
      <c r="D18" s="18">
        <f>D16-D17</f>
        <v>14311.3</v>
      </c>
      <c r="E18" s="18">
        <f>E16-E17</f>
        <v>12504.2</v>
      </c>
      <c r="F18" s="18">
        <f>F16-F17</f>
        <v>20622</v>
      </c>
    </row>
    <row r="19" spans="1:6" ht="15" customHeight="1" x14ac:dyDescent="0.25">
      <c r="A19" s="8" t="s">
        <v>58</v>
      </c>
      <c r="B19" s="16">
        <v>1175.7</v>
      </c>
      <c r="C19" s="16">
        <v>1160.4000000000001</v>
      </c>
      <c r="D19" s="16">
        <v>1143.5</v>
      </c>
      <c r="E19" s="16">
        <v>1131.5999999999999</v>
      </c>
      <c r="F19" s="16">
        <v>1132.5999999999999</v>
      </c>
    </row>
    <row r="21" spans="1:6" ht="7.5" customHeight="1" x14ac:dyDescent="0.25"/>
    <row r="22" spans="1:6" ht="15" customHeight="1" x14ac:dyDescent="0.25">
      <c r="A22" s="7" t="s">
        <v>59</v>
      </c>
      <c r="B22" s="15" t="s">
        <v>37</v>
      </c>
      <c r="C22" s="15" t="s">
        <v>38</v>
      </c>
      <c r="D22" s="15" t="s">
        <v>39</v>
      </c>
      <c r="E22" s="15" t="s">
        <v>40</v>
      </c>
      <c r="F22" s="15" t="s">
        <v>41</v>
      </c>
    </row>
    <row r="23" spans="1:6" ht="15" customHeight="1" x14ac:dyDescent="0.25">
      <c r="A23" s="8" t="s">
        <v>60</v>
      </c>
      <c r="B23" s="17">
        <f>B4/B3</f>
        <v>0.11982311421039205</v>
      </c>
      <c r="C23" s="17">
        <f>C4/C3</f>
        <v>0.16678710299026187</v>
      </c>
      <c r="D23" s="17">
        <f>D4/D3</f>
        <v>0.1831889935907573</v>
      </c>
      <c r="E23" s="17">
        <f>E4/E3</f>
        <v>0.18192886289596283</v>
      </c>
      <c r="F23" s="17">
        <f>F4/F3</f>
        <v>0.13865469562861771</v>
      </c>
    </row>
    <row r="24" spans="1:6" ht="15" customHeight="1" x14ac:dyDescent="0.25">
      <c r="A24" s="8" t="s">
        <v>61</v>
      </c>
      <c r="B24" s="17">
        <f>B7/B3</f>
        <v>2.555064206139978E-2</v>
      </c>
      <c r="C24" s="17">
        <f>C7/C3</f>
        <v>1.6038677265063143E-2</v>
      </c>
      <c r="D24" s="17">
        <f>D7/D3</f>
        <v>1.4539399633491781E-2</v>
      </c>
      <c r="E24" s="17">
        <f>E7/E3</f>
        <v>1.3381291764418105E-2</v>
      </c>
      <c r="F24" s="17">
        <f>F7/F3</f>
        <v>1.5324992674741958E-2</v>
      </c>
    </row>
    <row r="25" spans="1:6" ht="15" customHeight="1" x14ac:dyDescent="0.25">
      <c r="A25" s="8" t="s">
        <v>62</v>
      </c>
      <c r="B25" s="17">
        <f>B11/B3</f>
        <v>3.3591291776511607E-5</v>
      </c>
      <c r="C25" s="17">
        <f>C11/C3</f>
        <v>9.7381370221258728E-5</v>
      </c>
      <c r="D25" s="17">
        <f>D11/D3</f>
        <v>9.1472017314567621E-5</v>
      </c>
      <c r="E25" s="17">
        <f>E11/E3</f>
        <v>4.697628392577191E-5</v>
      </c>
      <c r="F25" s="17">
        <f>F11/F3</f>
        <v>3.4276679142640747E-5</v>
      </c>
    </row>
    <row r="26" spans="1:6" ht="15" customHeight="1" x14ac:dyDescent="0.25">
      <c r="A26" s="8" t="s">
        <v>63</v>
      </c>
      <c r="B26" s="17">
        <f>B14/B3</f>
        <v>6.1438047453014719E-2</v>
      </c>
      <c r="C26" s="17">
        <f>C14/C3</f>
        <v>5.0583255909982451E-2</v>
      </c>
      <c r="D26" s="17">
        <f>D14/D3</f>
        <v>5.7094042536038427E-2</v>
      </c>
      <c r="E26" s="17">
        <f>E14/E3</f>
        <v>6.4866187082355822E-2</v>
      </c>
      <c r="F26" s="17">
        <f>F14/F3</f>
        <v>6.7602456863904994E-2</v>
      </c>
    </row>
    <row r="27" spans="1:6" ht="15" customHeight="1" x14ac:dyDescent="0.25">
      <c r="A27" s="8" t="s">
        <v>64</v>
      </c>
      <c r="B27" s="17">
        <f>B5/B3</f>
        <v>6.1667658814525045E-2</v>
      </c>
      <c r="C27" s="17">
        <f>C5/C3</f>
        <v>5.2444857368982481E-2</v>
      </c>
      <c r="D27" s="17">
        <f>D5/D3</f>
        <v>4.7422814671491433E-2</v>
      </c>
      <c r="E27" s="17">
        <f>E5/E3</f>
        <v>4.0313434661270416E-2</v>
      </c>
      <c r="F27" s="17">
        <f>F5/F3</f>
        <v>4.4017890215113813E-2</v>
      </c>
    </row>
    <row r="28" spans="1:6" ht="15" customHeight="1" x14ac:dyDescent="0.25">
      <c r="A28" s="8" t="s">
        <v>65</v>
      </c>
      <c r="B28" s="17">
        <f>B10/B9</f>
        <v>4.2563044475011464</v>
      </c>
      <c r="C28" s="17">
        <f>C10/C9</f>
        <v>3.4616763310490248</v>
      </c>
      <c r="D28" s="17">
        <f>D10/D9</f>
        <v>2.5693704979642966</v>
      </c>
      <c r="E28" s="17">
        <f>E10/E9</f>
        <v>2.8533661235782355</v>
      </c>
      <c r="F28" s="17">
        <f>F10/F9</f>
        <v>1.5541553133514989</v>
      </c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0"/>
  <sheetViews>
    <sheetView showGridLines="0"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G6" sqref="G6"/>
    </sheetView>
  </sheetViews>
  <sheetFormatPr defaultColWidth="8.7109375" defaultRowHeight="15" x14ac:dyDescent="0.25"/>
  <cols>
    <col min="1" max="1" width="34" customWidth="1"/>
    <col min="2" max="12" width="14" customWidth="1"/>
  </cols>
  <sheetData>
    <row r="1" spans="1:12" ht="30" customHeight="1" x14ac:dyDescent="0.25">
      <c r="A1" s="6" t="s">
        <v>66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spans="1:12" ht="15" customHeight="1" x14ac:dyDescent="0.25">
      <c r="A2" s="7" t="s">
        <v>67</v>
      </c>
      <c r="B2" s="15" t="s">
        <v>68</v>
      </c>
      <c r="C2" s="15" t="s">
        <v>69</v>
      </c>
      <c r="D2" s="15" t="s">
        <v>70</v>
      </c>
      <c r="E2" s="15" t="s">
        <v>71</v>
      </c>
      <c r="F2" s="15" t="s">
        <v>72</v>
      </c>
      <c r="G2" s="15" t="s">
        <v>73</v>
      </c>
      <c r="H2" s="15" t="s">
        <v>74</v>
      </c>
      <c r="I2" s="15" t="s">
        <v>75</v>
      </c>
      <c r="J2" s="15" t="s">
        <v>76</v>
      </c>
      <c r="K2" s="15" t="s">
        <v>77</v>
      </c>
    </row>
    <row r="3" spans="1:12" ht="15" customHeight="1" x14ac:dyDescent="0.25">
      <c r="A3" s="8" t="s">
        <v>78</v>
      </c>
      <c r="B3" s="19">
        <f>'1 Assumptions'!B4</f>
        <v>0.03</v>
      </c>
      <c r="C3" s="19">
        <f>'1 Assumptions'!B5</f>
        <v>0.05</v>
      </c>
      <c r="D3" s="19">
        <f>'1 Assumptions'!B6</f>
        <v>0.06</v>
      </c>
      <c r="E3" s="19">
        <f>'1 Assumptions'!B7</f>
        <v>7.0000000000000007E-2</v>
      </c>
      <c r="F3" s="19">
        <f>'1 Assumptions'!B8</f>
        <v>7.0000000000000007E-2</v>
      </c>
      <c r="G3" s="19">
        <f>'1 Assumptions'!B9</f>
        <v>0.06</v>
      </c>
      <c r="H3" s="19">
        <f>'1 Assumptions'!B10</f>
        <v>5.5E-2</v>
      </c>
      <c r="I3" s="19">
        <f>'1 Assumptions'!B11</f>
        <v>0.05</v>
      </c>
      <c r="J3" s="19">
        <f>'1 Assumptions'!B12</f>
        <v>4.4999999999999998E-2</v>
      </c>
      <c r="K3" s="19">
        <f>'1 Assumptions'!B13</f>
        <v>0.04</v>
      </c>
    </row>
    <row r="4" spans="1:12" ht="15" customHeight="1" x14ac:dyDescent="0.25">
      <c r="A4" s="8" t="s">
        <v>43</v>
      </c>
      <c r="B4" s="18">
        <f>'2 Historical'!F3*(1+B3)</f>
        <v>37261.485999999997</v>
      </c>
      <c r="C4" s="18">
        <f t="shared" ref="C4:K4" si="0">B4*(1+C3)</f>
        <v>39124.560299999997</v>
      </c>
      <c r="D4" s="18">
        <f t="shared" si="0"/>
        <v>41472.033918000001</v>
      </c>
      <c r="E4" s="18">
        <f t="shared" si="0"/>
        <v>44375.076292260004</v>
      </c>
      <c r="F4" s="18">
        <f t="shared" si="0"/>
        <v>47481.331632718204</v>
      </c>
      <c r="G4" s="18">
        <f t="shared" si="0"/>
        <v>50330.211530681299</v>
      </c>
      <c r="H4" s="18">
        <f t="shared" si="0"/>
        <v>53098.373164868768</v>
      </c>
      <c r="I4" s="18">
        <f t="shared" si="0"/>
        <v>55753.291823112209</v>
      </c>
      <c r="J4" s="18">
        <f t="shared" si="0"/>
        <v>58262.189955152258</v>
      </c>
      <c r="K4" s="18">
        <f t="shared" si="0"/>
        <v>60592.67755335835</v>
      </c>
    </row>
    <row r="5" spans="1:12" ht="15" customHeight="1" x14ac:dyDescent="0.25">
      <c r="A5" s="8" t="s">
        <v>44</v>
      </c>
      <c r="B5" s="18">
        <f>B4*'1 Assumptions'!$B$17</f>
        <v>6520.760049999999</v>
      </c>
      <c r="C5" s="18">
        <f>C4*'1 Assumptions'!$B$17</f>
        <v>6846.7980524999994</v>
      </c>
      <c r="D5" s="18">
        <f>D4*'1 Assumptions'!$B$17</f>
        <v>7257.60593565</v>
      </c>
      <c r="E5" s="18">
        <f>E4*'1 Assumptions'!$B$17</f>
        <v>7765.6383511455006</v>
      </c>
      <c r="F5" s="18">
        <f>F4*'1 Assumptions'!$B$17</f>
        <v>8309.2330357256851</v>
      </c>
      <c r="G5" s="18">
        <f>G4*'1 Assumptions'!$B$17</f>
        <v>8807.7870178692265</v>
      </c>
      <c r="H5" s="18">
        <f>H4*'1 Assumptions'!$B$17</f>
        <v>9292.2153038520337</v>
      </c>
      <c r="I5" s="18">
        <f>I4*'1 Assumptions'!$B$17</f>
        <v>9756.8260690446368</v>
      </c>
      <c r="J5" s="18">
        <f>J4*'1 Assumptions'!$B$17</f>
        <v>10195.883242151645</v>
      </c>
      <c r="K5" s="18">
        <f>K4*'1 Assumptions'!$B$17</f>
        <v>10603.718571837711</v>
      </c>
    </row>
    <row r="6" spans="1:12" ht="15" customHeight="1" x14ac:dyDescent="0.25">
      <c r="A6" s="8" t="s">
        <v>45</v>
      </c>
      <c r="B6" s="18">
        <f>B4*'1 Assumptions'!$B$18</f>
        <v>1602.2438979999997</v>
      </c>
      <c r="C6" s="18">
        <f>C4*'1 Assumptions'!$B$18</f>
        <v>1682.3560928999998</v>
      </c>
      <c r="D6" s="18">
        <f>D4*'1 Assumptions'!$B$18</f>
        <v>1783.297458474</v>
      </c>
      <c r="E6" s="18">
        <f>E4*'1 Assumptions'!$B$18</f>
        <v>1908.1282805671801</v>
      </c>
      <c r="F6" s="18">
        <f>F4*'1 Assumptions'!$B$18</f>
        <v>2041.6972602068827</v>
      </c>
      <c r="G6" s="18">
        <f>G4*'1 Assumptions'!$B$18</f>
        <v>2164.1990958192955</v>
      </c>
      <c r="H6" s="18">
        <f>H4*'1 Assumptions'!$B$18</f>
        <v>2283.2300460893566</v>
      </c>
      <c r="I6" s="18">
        <f>I4*'1 Assumptions'!$B$18</f>
        <v>2397.3915483938249</v>
      </c>
      <c r="J6" s="18">
        <f>J4*'1 Assumptions'!$B$18</f>
        <v>2505.2741680715467</v>
      </c>
      <c r="K6" s="18">
        <f>K4*'1 Assumptions'!$B$18</f>
        <v>2605.4851347944086</v>
      </c>
    </row>
    <row r="7" spans="1:12" ht="15" customHeight="1" x14ac:dyDescent="0.25">
      <c r="A7" s="8" t="s">
        <v>46</v>
      </c>
      <c r="B7" s="18">
        <f t="shared" ref="B7:K7" si="1">B5-B6</f>
        <v>4918.5161519999992</v>
      </c>
      <c r="C7" s="18">
        <f t="shared" si="1"/>
        <v>5164.4419595999998</v>
      </c>
      <c r="D7" s="18">
        <f t="shared" si="1"/>
        <v>5474.3084771760005</v>
      </c>
      <c r="E7" s="18">
        <f t="shared" si="1"/>
        <v>5857.5100705783207</v>
      </c>
      <c r="F7" s="18">
        <f t="shared" si="1"/>
        <v>6267.5357755188024</v>
      </c>
      <c r="G7" s="18">
        <f t="shared" si="1"/>
        <v>6643.587922049931</v>
      </c>
      <c r="H7" s="18">
        <f t="shared" si="1"/>
        <v>7008.9852577626771</v>
      </c>
      <c r="I7" s="18">
        <f t="shared" si="1"/>
        <v>7359.4345206508115</v>
      </c>
      <c r="J7" s="18">
        <f t="shared" si="1"/>
        <v>7690.6090740800992</v>
      </c>
      <c r="K7" s="18">
        <f t="shared" si="1"/>
        <v>7998.2334370433027</v>
      </c>
    </row>
    <row r="8" spans="1:12" ht="15" customHeight="1" x14ac:dyDescent="0.25">
      <c r="A8" s="8" t="s">
        <v>79</v>
      </c>
      <c r="B8" s="18">
        <f>B7*'1 Assumptions'!$B$21</f>
        <v>1219.7920056959997</v>
      </c>
      <c r="C8" s="18">
        <f>C7*'1 Assumptions'!$B$21</f>
        <v>1280.7816059807999</v>
      </c>
      <c r="D8" s="18">
        <f>D7*'1 Assumptions'!$B$21</f>
        <v>1357.6285023396481</v>
      </c>
      <c r="E8" s="18">
        <f>E7*'1 Assumptions'!$B$21</f>
        <v>1452.6624975034235</v>
      </c>
      <c r="F8" s="18">
        <f>F7*'1 Assumptions'!$B$21</f>
        <v>1554.348872328663</v>
      </c>
      <c r="G8" s="18">
        <f>G7*'1 Assumptions'!$B$21</f>
        <v>1647.6098046683828</v>
      </c>
      <c r="H8" s="18">
        <f>H7*'1 Assumptions'!$B$21</f>
        <v>1738.2283439251439</v>
      </c>
      <c r="I8" s="18">
        <f>I7*'1 Assumptions'!$B$21</f>
        <v>1825.1397611214013</v>
      </c>
      <c r="J8" s="18">
        <f>J7*'1 Assumptions'!$B$21</f>
        <v>1907.2710503718645</v>
      </c>
      <c r="K8" s="18">
        <f>K7*'1 Assumptions'!$B$21</f>
        <v>1983.5618923867391</v>
      </c>
    </row>
    <row r="9" spans="1:12" ht="15" customHeight="1" x14ac:dyDescent="0.25">
      <c r="A9" s="8" t="s">
        <v>80</v>
      </c>
      <c r="B9" s="20">
        <f>B7*(1-'1 Assumptions'!$B$21)</f>
        <v>3698.7241463039995</v>
      </c>
      <c r="C9" s="20">
        <f>C7*(1-'1 Assumptions'!$B$21)</f>
        <v>3883.6603536191997</v>
      </c>
      <c r="D9" s="20">
        <f>D7*(1-'1 Assumptions'!$B$21)</f>
        <v>4116.6799748363519</v>
      </c>
      <c r="E9" s="20">
        <f>E7*(1-'1 Assumptions'!$B$21)</f>
        <v>4404.8475730748969</v>
      </c>
      <c r="F9" s="20">
        <f>F7*(1-'1 Assumptions'!$B$21)</f>
        <v>4713.1869031901397</v>
      </c>
      <c r="G9" s="20">
        <f>G7*(1-'1 Assumptions'!$B$21)</f>
        <v>4995.9781173815481</v>
      </c>
      <c r="H9" s="20">
        <f>H7*(1-'1 Assumptions'!$B$21)</f>
        <v>5270.7569138375329</v>
      </c>
      <c r="I9" s="20">
        <f>I7*(1-'1 Assumptions'!$B$21)</f>
        <v>5534.2947595294099</v>
      </c>
      <c r="J9" s="20">
        <f>J7*(1-'1 Assumptions'!$B$21)</f>
        <v>5783.3380237082347</v>
      </c>
      <c r="K9" s="20">
        <f>K7*(1-'1 Assumptions'!$B$21)</f>
        <v>6014.671544656564</v>
      </c>
    </row>
    <row r="10" spans="1:12" ht="6" customHeight="1" x14ac:dyDescent="0.25"/>
    <row r="11" spans="1:12" ht="23.25" customHeight="1" x14ac:dyDescent="0.25">
      <c r="A11" s="7" t="s">
        <v>81</v>
      </c>
      <c r="B11" s="15" t="s">
        <v>68</v>
      </c>
      <c r="C11" s="15" t="s">
        <v>69</v>
      </c>
      <c r="D11" s="15" t="s">
        <v>70</v>
      </c>
      <c r="E11" s="15" t="s">
        <v>71</v>
      </c>
      <c r="F11" s="15" t="s">
        <v>72</v>
      </c>
      <c r="G11" s="15" t="s">
        <v>73</v>
      </c>
      <c r="H11" s="15" t="s">
        <v>74</v>
      </c>
      <c r="I11" s="15" t="s">
        <v>75</v>
      </c>
      <c r="J11" s="15" t="s">
        <v>76</v>
      </c>
      <c r="K11" s="15" t="s">
        <v>77</v>
      </c>
    </row>
    <row r="12" spans="1:12" ht="15" customHeight="1" x14ac:dyDescent="0.25">
      <c r="A12" s="8" t="s">
        <v>82</v>
      </c>
      <c r="B12" s="18">
        <f t="shared" ref="B12:K12" si="2">B6</f>
        <v>1602.2438979999997</v>
      </c>
      <c r="C12" s="18">
        <f t="shared" si="2"/>
        <v>1682.3560928999998</v>
      </c>
      <c r="D12" s="18">
        <f t="shared" si="2"/>
        <v>1783.297458474</v>
      </c>
      <c r="E12" s="18">
        <f t="shared" si="2"/>
        <v>1908.1282805671801</v>
      </c>
      <c r="F12" s="18">
        <f t="shared" si="2"/>
        <v>2041.6972602068827</v>
      </c>
      <c r="G12" s="18">
        <f t="shared" si="2"/>
        <v>2164.1990958192955</v>
      </c>
      <c r="H12" s="18">
        <f t="shared" si="2"/>
        <v>2283.2300460893566</v>
      </c>
      <c r="I12" s="18">
        <f t="shared" si="2"/>
        <v>2397.3915483938249</v>
      </c>
      <c r="J12" s="18">
        <f t="shared" si="2"/>
        <v>2505.2741680715467</v>
      </c>
      <c r="K12" s="18">
        <f t="shared" si="2"/>
        <v>2605.4851347944086</v>
      </c>
    </row>
    <row r="13" spans="1:12" ht="15" customHeight="1" x14ac:dyDescent="0.25">
      <c r="A13" s="8" t="s">
        <v>83</v>
      </c>
      <c r="B13" s="18">
        <f>-B4*'1 Assumptions'!$B$19</f>
        <v>-2347.473618</v>
      </c>
      <c r="C13" s="18">
        <f>-C4*'1 Assumptions'!$B$19</f>
        <v>-2464.8472988999997</v>
      </c>
      <c r="D13" s="18">
        <f>-D4*'1 Assumptions'!$B$19</f>
        <v>-2612.7381368340002</v>
      </c>
      <c r="E13" s="18">
        <f>-E4*'1 Assumptions'!$B$19</f>
        <v>-2795.6298064123803</v>
      </c>
      <c r="F13" s="18">
        <f>-F4*'1 Assumptions'!$B$19</f>
        <v>-2991.3238928612468</v>
      </c>
      <c r="G13" s="18">
        <f>-G4*'1 Assumptions'!$B$19</f>
        <v>-3170.8033264329219</v>
      </c>
      <c r="H13" s="18">
        <f>-H4*'1 Assumptions'!$B$19</f>
        <v>-3345.1975093867322</v>
      </c>
      <c r="I13" s="18">
        <f>-I4*'1 Assumptions'!$B$19</f>
        <v>-3512.4573848560694</v>
      </c>
      <c r="J13" s="18">
        <f>-J4*'1 Assumptions'!$B$19</f>
        <v>-3670.5179671745923</v>
      </c>
      <c r="K13" s="18">
        <f>-K4*'1 Assumptions'!$B$19</f>
        <v>-3817.3386858615759</v>
      </c>
    </row>
    <row r="14" spans="1:12" ht="15" customHeight="1" x14ac:dyDescent="0.25">
      <c r="A14" s="8" t="s">
        <v>84</v>
      </c>
      <c r="B14" s="18">
        <f>-B4*'1 Assumptions'!$B$20</f>
        <v>-186.30742999999998</v>
      </c>
      <c r="C14" s="18">
        <f>-C4*'1 Assumptions'!$B$20</f>
        <v>-195.62280149999998</v>
      </c>
      <c r="D14" s="18">
        <f>-D4*'1 Assumptions'!$B$20</f>
        <v>-207.36016959</v>
      </c>
      <c r="E14" s="18">
        <f>-E4*'1 Assumptions'!$B$20</f>
        <v>-221.87538146130004</v>
      </c>
      <c r="F14" s="18">
        <f>-F4*'1 Assumptions'!$B$20</f>
        <v>-237.40665816359103</v>
      </c>
      <c r="G14" s="18">
        <f>-G4*'1 Assumptions'!$B$20</f>
        <v>-251.6510576534065</v>
      </c>
      <c r="H14" s="18">
        <f>-H4*'1 Assumptions'!$B$20</f>
        <v>-265.49186582434385</v>
      </c>
      <c r="I14" s="18">
        <f>-I4*'1 Assumptions'!$B$20</f>
        <v>-278.76645911556108</v>
      </c>
      <c r="J14" s="18">
        <f>-J4*'1 Assumptions'!$B$20</f>
        <v>-291.31094977576129</v>
      </c>
      <c r="K14" s="18">
        <f>-K4*'1 Assumptions'!$B$20</f>
        <v>-302.96338776679175</v>
      </c>
    </row>
    <row r="15" spans="1:12" ht="15" customHeight="1" x14ac:dyDescent="0.25">
      <c r="A15" s="8" t="s">
        <v>85</v>
      </c>
      <c r="B15" s="21">
        <f t="shared" ref="B15:K15" si="3">B9+B12+B13+B14</f>
        <v>2767.1869963039999</v>
      </c>
      <c r="C15" s="21">
        <f t="shared" si="3"/>
        <v>2905.5463461191994</v>
      </c>
      <c r="D15" s="21">
        <f t="shared" si="3"/>
        <v>3079.879126886352</v>
      </c>
      <c r="E15" s="21">
        <f t="shared" si="3"/>
        <v>3295.4706657683964</v>
      </c>
      <c r="F15" s="21">
        <f t="shared" si="3"/>
        <v>3526.1536123721844</v>
      </c>
      <c r="G15" s="21">
        <f t="shared" si="3"/>
        <v>3737.7228291145152</v>
      </c>
      <c r="H15" s="21">
        <f t="shared" si="3"/>
        <v>3943.2975847158136</v>
      </c>
      <c r="I15" s="21">
        <f t="shared" si="3"/>
        <v>4140.4624639516051</v>
      </c>
      <c r="J15" s="21">
        <f t="shared" si="3"/>
        <v>4326.7832748294277</v>
      </c>
      <c r="K15" s="21">
        <f t="shared" si="3"/>
        <v>4499.8546058226048</v>
      </c>
    </row>
    <row r="16" spans="1:12" ht="6" customHeight="1" x14ac:dyDescent="0.25"/>
    <row r="17" spans="1:11" ht="15" customHeight="1" x14ac:dyDescent="0.25">
      <c r="A17" s="7" t="s">
        <v>86</v>
      </c>
      <c r="B17" s="15" t="s">
        <v>68</v>
      </c>
      <c r="C17" s="15" t="s">
        <v>69</v>
      </c>
      <c r="D17" s="15" t="s">
        <v>70</v>
      </c>
      <c r="E17" s="15" t="s">
        <v>71</v>
      </c>
      <c r="F17" s="15" t="s">
        <v>72</v>
      </c>
      <c r="G17" s="15" t="s">
        <v>73</v>
      </c>
      <c r="H17" s="15" t="s">
        <v>74</v>
      </c>
      <c r="I17" s="15" t="s">
        <v>75</v>
      </c>
      <c r="J17" s="15" t="s">
        <v>76</v>
      </c>
      <c r="K17" s="15" t="s">
        <v>77</v>
      </c>
    </row>
    <row r="18" spans="1:11" ht="15" customHeight="1" x14ac:dyDescent="0.25">
      <c r="A18" s="8" t="s">
        <v>87</v>
      </c>
      <c r="B18" s="17">
        <f t="shared" ref="B18:K18" si="4">B5/B4</f>
        <v>0.17499999999999999</v>
      </c>
      <c r="C18" s="17">
        <f t="shared" si="4"/>
        <v>0.17499999999999999</v>
      </c>
      <c r="D18" s="17">
        <f t="shared" si="4"/>
        <v>0.17499999999999999</v>
      </c>
      <c r="E18" s="17">
        <f t="shared" si="4"/>
        <v>0.17499999999999999</v>
      </c>
      <c r="F18" s="17">
        <f t="shared" si="4"/>
        <v>0.17499999999999999</v>
      </c>
      <c r="G18" s="17">
        <f t="shared" si="4"/>
        <v>0.17499999999999999</v>
      </c>
      <c r="H18" s="17">
        <f t="shared" si="4"/>
        <v>0.17499999999999999</v>
      </c>
      <c r="I18" s="17">
        <f t="shared" si="4"/>
        <v>0.17500000000000002</v>
      </c>
      <c r="J18" s="17">
        <f t="shared" si="4"/>
        <v>0.17500000000000002</v>
      </c>
      <c r="K18" s="17">
        <f t="shared" si="4"/>
        <v>0.17500000000000002</v>
      </c>
    </row>
    <row r="19" spans="1:11" ht="15" customHeight="1" x14ac:dyDescent="0.25">
      <c r="A19" s="8" t="s">
        <v>88</v>
      </c>
      <c r="B19" s="17">
        <f t="shared" ref="B19:K19" si="5">B15/B4</f>
        <v>7.4263999999999997E-2</v>
      </c>
      <c r="C19" s="17">
        <f t="shared" si="5"/>
        <v>7.4263999999999983E-2</v>
      </c>
      <c r="D19" s="17">
        <f t="shared" si="5"/>
        <v>7.4263999999999997E-2</v>
      </c>
      <c r="E19" s="17">
        <f t="shared" si="5"/>
        <v>7.4263999999999983E-2</v>
      </c>
      <c r="F19" s="17">
        <f t="shared" si="5"/>
        <v>7.4263999999999997E-2</v>
      </c>
      <c r="G19" s="17">
        <f t="shared" si="5"/>
        <v>7.4263999999999983E-2</v>
      </c>
      <c r="H19" s="17">
        <f t="shared" si="5"/>
        <v>7.4263999999999983E-2</v>
      </c>
      <c r="I19" s="17">
        <f t="shared" si="5"/>
        <v>7.4263999999999997E-2</v>
      </c>
      <c r="J19" s="17">
        <f t="shared" si="5"/>
        <v>7.4264000000000011E-2</v>
      </c>
      <c r="K19" s="17">
        <f t="shared" si="5"/>
        <v>7.4264000000000011E-2</v>
      </c>
    </row>
    <row r="20" spans="1:11" ht="15" customHeight="1" x14ac:dyDescent="0.25">
      <c r="A20" s="8" t="s">
        <v>89</v>
      </c>
      <c r="B20" s="17">
        <f t="shared" ref="B20:K20" si="6">ABS(B13)/B4</f>
        <v>6.3E-2</v>
      </c>
      <c r="C20" s="17">
        <f t="shared" si="6"/>
        <v>6.3E-2</v>
      </c>
      <c r="D20" s="17">
        <f t="shared" si="6"/>
        <v>6.3E-2</v>
      </c>
      <c r="E20" s="17">
        <f t="shared" si="6"/>
        <v>6.3E-2</v>
      </c>
      <c r="F20" s="17">
        <f t="shared" si="6"/>
        <v>6.3E-2</v>
      </c>
      <c r="G20" s="17">
        <f t="shared" si="6"/>
        <v>6.3E-2</v>
      </c>
      <c r="H20" s="17">
        <f t="shared" si="6"/>
        <v>6.3E-2</v>
      </c>
      <c r="I20" s="17">
        <f t="shared" si="6"/>
        <v>6.3E-2</v>
      </c>
      <c r="J20" s="17">
        <f t="shared" si="6"/>
        <v>6.3E-2</v>
      </c>
      <c r="K20" s="17">
        <f t="shared" si="6"/>
        <v>6.3E-2</v>
      </c>
    </row>
  </sheetData>
  <mergeCells count="1">
    <mergeCell ref="A1:L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7"/>
  <sheetViews>
    <sheetView showGridLines="0" zoomScaleNormal="100" workbookViewId="0">
      <pane xSplit="1" ySplit="2" topLeftCell="B16" activePane="bottomRight" state="frozen"/>
      <selection pane="topRight" activeCell="B1" sqref="B1"/>
      <selection pane="bottomLeft" activeCell="A3" sqref="A3"/>
      <selection pane="bottomRight" activeCell="D15" sqref="D15"/>
    </sheetView>
  </sheetViews>
  <sheetFormatPr defaultColWidth="8.7109375" defaultRowHeight="15" x14ac:dyDescent="0.25"/>
  <cols>
    <col min="1" max="1" width="40" customWidth="1"/>
    <col min="2" max="3" width="22" customWidth="1"/>
    <col min="4" max="4" width="30" customWidth="1"/>
  </cols>
  <sheetData>
    <row r="1" spans="1:4" ht="30" customHeight="1" x14ac:dyDescent="0.25">
      <c r="A1" s="6" t="s">
        <v>90</v>
      </c>
      <c r="B1" s="6"/>
      <c r="C1" s="6"/>
      <c r="D1" s="6"/>
    </row>
    <row r="3" spans="1:4" ht="15" customHeight="1" x14ac:dyDescent="0.25">
      <c r="A3" s="7" t="s">
        <v>91</v>
      </c>
      <c r="B3" s="7" t="s">
        <v>92</v>
      </c>
      <c r="C3" s="7" t="s">
        <v>93</v>
      </c>
      <c r="D3" s="7" t="s">
        <v>94</v>
      </c>
    </row>
    <row r="4" spans="1:4" ht="15" customHeight="1" x14ac:dyDescent="0.25">
      <c r="A4" s="8" t="s">
        <v>95</v>
      </c>
      <c r="B4" s="22">
        <f>'1 Assumptions'!B4</f>
        <v>0.03</v>
      </c>
      <c r="C4" s="8" t="s">
        <v>96</v>
      </c>
      <c r="D4" s="8" t="s">
        <v>97</v>
      </c>
    </row>
    <row r="5" spans="1:4" ht="15" customHeight="1" x14ac:dyDescent="0.25">
      <c r="A5" s="8" t="s">
        <v>7</v>
      </c>
      <c r="B5" s="22">
        <f>'1 Assumptions'!B5</f>
        <v>0.05</v>
      </c>
      <c r="C5" s="8" t="s">
        <v>98</v>
      </c>
      <c r="D5" s="8" t="s">
        <v>99</v>
      </c>
    </row>
    <row r="6" spans="1:4" ht="15" customHeight="1" x14ac:dyDescent="0.25">
      <c r="A6" s="8" t="s">
        <v>100</v>
      </c>
      <c r="B6" s="22">
        <f>'1 Assumptions'!B6</f>
        <v>0.06</v>
      </c>
      <c r="C6" s="8" t="s">
        <v>101</v>
      </c>
      <c r="D6" s="8" t="s">
        <v>102</v>
      </c>
    </row>
    <row r="7" spans="1:4" ht="15" customHeight="1" x14ac:dyDescent="0.25">
      <c r="A7" s="8" t="s">
        <v>103</v>
      </c>
      <c r="B7" s="22">
        <f>B4+B6*B5</f>
        <v>3.3000000000000002E-2</v>
      </c>
      <c r="C7" s="8" t="s">
        <v>104</v>
      </c>
      <c r="D7" s="8" t="s">
        <v>105</v>
      </c>
    </row>
    <row r="8" spans="1:4" ht="6" customHeight="1" x14ac:dyDescent="0.25"/>
    <row r="9" spans="1:4" ht="15" customHeight="1" x14ac:dyDescent="0.25">
      <c r="A9" s="7" t="s">
        <v>106</v>
      </c>
      <c r="B9" s="7" t="s">
        <v>92</v>
      </c>
      <c r="C9" s="7" t="s">
        <v>93</v>
      </c>
      <c r="D9" s="7" t="s">
        <v>94</v>
      </c>
    </row>
    <row r="10" spans="1:4" ht="15" customHeight="1" x14ac:dyDescent="0.25">
      <c r="A10" s="8" t="s">
        <v>107</v>
      </c>
      <c r="B10" s="22">
        <f>'1 Assumptions'!B8</f>
        <v>7.0000000000000007E-2</v>
      </c>
      <c r="C10" s="8" t="s">
        <v>108</v>
      </c>
      <c r="D10" s="8" t="s">
        <v>109</v>
      </c>
    </row>
    <row r="11" spans="1:4" ht="15" customHeight="1" x14ac:dyDescent="0.25">
      <c r="A11" s="8" t="s">
        <v>34</v>
      </c>
      <c r="B11" s="22">
        <f>'1 Assumptions'!B9</f>
        <v>0.06</v>
      </c>
      <c r="C11" s="8" t="s">
        <v>110</v>
      </c>
      <c r="D11" s="8" t="s">
        <v>111</v>
      </c>
    </row>
    <row r="12" spans="1:4" ht="15" customHeight="1" x14ac:dyDescent="0.25">
      <c r="A12" s="8" t="s">
        <v>112</v>
      </c>
      <c r="B12" s="22">
        <f>B10*(1-B11)</f>
        <v>6.5799999999999997E-2</v>
      </c>
      <c r="C12" s="8" t="s">
        <v>113</v>
      </c>
      <c r="D12" s="8" t="s">
        <v>114</v>
      </c>
    </row>
    <row r="13" spans="1:4" ht="6" customHeight="1" x14ac:dyDescent="0.25"/>
    <row r="14" spans="1:4" ht="15" customHeight="1" x14ac:dyDescent="0.25">
      <c r="A14" s="7" t="s">
        <v>115</v>
      </c>
      <c r="B14" s="7" t="s">
        <v>116</v>
      </c>
      <c r="C14" s="7" t="s">
        <v>93</v>
      </c>
      <c r="D14" s="7" t="s">
        <v>94</v>
      </c>
    </row>
    <row r="15" spans="1:4" ht="15" customHeight="1" x14ac:dyDescent="0.25">
      <c r="A15" s="8" t="s">
        <v>15</v>
      </c>
      <c r="B15" s="23">
        <f>'1 Assumptions'!B10</f>
        <v>5.5E-2</v>
      </c>
      <c r="C15" s="8" t="s">
        <v>117</v>
      </c>
      <c r="D15" s="8" t="s">
        <v>118</v>
      </c>
    </row>
    <row r="16" spans="1:4" ht="15" customHeight="1" x14ac:dyDescent="0.25">
      <c r="A16" s="8" t="s">
        <v>17</v>
      </c>
      <c r="B16" s="23">
        <f>'1 Assumptions'!B11</f>
        <v>0.05</v>
      </c>
      <c r="C16" s="8" t="s">
        <v>119</v>
      </c>
      <c r="D16" s="8" t="s">
        <v>120</v>
      </c>
    </row>
    <row r="17" spans="1:4" ht="15" customHeight="1" x14ac:dyDescent="0.25">
      <c r="A17" s="8" t="s">
        <v>19</v>
      </c>
      <c r="B17" s="23">
        <f>'1 Assumptions'!B12</f>
        <v>4.4999999999999998E-2</v>
      </c>
      <c r="C17" s="8" t="s">
        <v>121</v>
      </c>
      <c r="D17" s="8" t="s">
        <v>122</v>
      </c>
    </row>
    <row r="18" spans="1:4" ht="15" customHeight="1" x14ac:dyDescent="0.25">
      <c r="A18" s="8" t="s">
        <v>21</v>
      </c>
      <c r="B18" s="24">
        <f>'1 Assumptions'!B13</f>
        <v>0.04</v>
      </c>
      <c r="C18" s="8" t="s">
        <v>123</v>
      </c>
      <c r="D18" s="8" t="s">
        <v>124</v>
      </c>
    </row>
    <row r="19" spans="1:4" ht="15" customHeight="1" x14ac:dyDescent="0.25">
      <c r="A19" s="8" t="s">
        <v>125</v>
      </c>
      <c r="B19" s="23">
        <f>B17*B18</f>
        <v>1.8E-3</v>
      </c>
      <c r="C19" s="8" t="s">
        <v>126</v>
      </c>
      <c r="D19" s="8" t="s">
        <v>127</v>
      </c>
    </row>
    <row r="20" spans="1:4" ht="15" customHeight="1" x14ac:dyDescent="0.25">
      <c r="A20" s="8" t="s">
        <v>128</v>
      </c>
      <c r="B20" s="23">
        <f>B19+B15-B16</f>
        <v>6.8000000000000005E-3</v>
      </c>
      <c r="C20" s="8" t="s">
        <v>126</v>
      </c>
      <c r="D20" s="8" t="s">
        <v>129</v>
      </c>
    </row>
    <row r="21" spans="1:4" ht="15" customHeight="1" x14ac:dyDescent="0.25">
      <c r="A21" s="8" t="s">
        <v>130</v>
      </c>
      <c r="B21" s="22">
        <f>B19/(B19+B15)</f>
        <v>3.1690140845070422E-2</v>
      </c>
      <c r="C21" s="8" t="s">
        <v>131</v>
      </c>
      <c r="D21" s="8" t="s">
        <v>132</v>
      </c>
    </row>
    <row r="22" spans="1:4" ht="15" customHeight="1" x14ac:dyDescent="0.25">
      <c r="A22" s="8" t="s">
        <v>133</v>
      </c>
      <c r="B22" s="22">
        <f>B15/(B19+B15)</f>
        <v>0.96830985915492951</v>
      </c>
      <c r="C22" s="8" t="s">
        <v>134</v>
      </c>
      <c r="D22" s="8" t="s">
        <v>132</v>
      </c>
    </row>
    <row r="23" spans="1:4" ht="6" customHeight="1" x14ac:dyDescent="0.25"/>
    <row r="24" spans="1:4" ht="15" customHeight="1" x14ac:dyDescent="0.25">
      <c r="A24" s="7" t="s">
        <v>135</v>
      </c>
      <c r="B24" s="7" t="s">
        <v>92</v>
      </c>
      <c r="C24" s="7" t="s">
        <v>136</v>
      </c>
      <c r="D24" s="7" t="s">
        <v>94</v>
      </c>
    </row>
    <row r="25" spans="1:4" ht="15" customHeight="1" x14ac:dyDescent="0.25">
      <c r="A25" s="8" t="s">
        <v>137</v>
      </c>
      <c r="B25" s="22">
        <f>B7*B21</f>
        <v>1.0457746478873241E-3</v>
      </c>
      <c r="C25" s="8" t="s">
        <v>138</v>
      </c>
      <c r="D25" s="8"/>
    </row>
    <row r="26" spans="1:4" ht="15" customHeight="1" x14ac:dyDescent="0.25">
      <c r="A26" s="8" t="s">
        <v>139</v>
      </c>
      <c r="B26" s="22">
        <f>B12*B22</f>
        <v>6.3714788732394362E-2</v>
      </c>
      <c r="C26" s="8" t="s">
        <v>140</v>
      </c>
      <c r="D26" s="8"/>
    </row>
    <row r="27" spans="1:4" ht="15" customHeight="1" x14ac:dyDescent="0.25">
      <c r="A27" s="8" t="s">
        <v>141</v>
      </c>
      <c r="B27" s="25">
        <f>B25+B26</f>
        <v>6.4760563380281688E-2</v>
      </c>
      <c r="C27" s="8" t="s">
        <v>142</v>
      </c>
      <c r="D27" s="8" t="s">
        <v>143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32"/>
  <sheetViews>
    <sheetView showGridLines="0" zoomScaleNormal="100" workbookViewId="0">
      <pane xSplit="1" ySplit="2" topLeftCell="B22" activePane="bottomRight" state="frozen"/>
      <selection pane="topRight" activeCell="B1" sqref="B1"/>
      <selection pane="bottomLeft" activeCell="A3" sqref="A3"/>
      <selection pane="bottomRight" activeCell="F6" sqref="F6"/>
    </sheetView>
  </sheetViews>
  <sheetFormatPr defaultColWidth="8.7109375" defaultRowHeight="15" x14ac:dyDescent="0.25"/>
  <cols>
    <col min="1" max="1" width="36" customWidth="1"/>
    <col min="2" max="12" width="14" customWidth="1"/>
  </cols>
  <sheetData>
    <row r="1" spans="1:12" ht="30" customHeight="1" x14ac:dyDescent="0.25">
      <c r="A1" s="6" t="s">
        <v>144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spans="1:12" ht="15" customHeight="1" x14ac:dyDescent="0.25">
      <c r="A2" s="7" t="s">
        <v>145</v>
      </c>
      <c r="B2" s="15" t="s">
        <v>68</v>
      </c>
      <c r="C2" s="15" t="s">
        <v>69</v>
      </c>
      <c r="D2" s="15" t="s">
        <v>70</v>
      </c>
      <c r="E2" s="15" t="s">
        <v>71</v>
      </c>
      <c r="F2" s="15" t="s">
        <v>72</v>
      </c>
      <c r="G2" s="15" t="s">
        <v>73</v>
      </c>
      <c r="H2" s="15" t="s">
        <v>74</v>
      </c>
      <c r="I2" s="15" t="s">
        <v>75</v>
      </c>
      <c r="J2" s="15" t="s">
        <v>76</v>
      </c>
      <c r="K2" s="15" t="s">
        <v>77</v>
      </c>
    </row>
    <row r="3" spans="1:12" ht="15" customHeight="1" x14ac:dyDescent="0.25">
      <c r="A3" s="8" t="s">
        <v>146</v>
      </c>
      <c r="B3" s="22">
        <f>'4 WACC'!B27</f>
        <v>6.4760563380281688E-2</v>
      </c>
      <c r="C3" s="22">
        <f>'4 WACC'!B27</f>
        <v>6.4760563380281688E-2</v>
      </c>
      <c r="D3" s="22">
        <f>'4 WACC'!B27</f>
        <v>6.4760563380281688E-2</v>
      </c>
      <c r="E3" s="22">
        <f>'4 WACC'!B27</f>
        <v>6.4760563380281688E-2</v>
      </c>
      <c r="F3" s="22">
        <f>'4 WACC'!B27</f>
        <v>6.4760563380281688E-2</v>
      </c>
      <c r="G3" s="22">
        <f>'4 WACC'!B27</f>
        <v>6.4760563380281688E-2</v>
      </c>
      <c r="H3" s="22">
        <f>'4 WACC'!B27</f>
        <v>6.4760563380281688E-2</v>
      </c>
      <c r="I3" s="22">
        <f>'4 WACC'!B27</f>
        <v>6.4760563380281688E-2</v>
      </c>
      <c r="J3" s="22">
        <f>'4 WACC'!B27</f>
        <v>6.4760563380281688E-2</v>
      </c>
      <c r="K3" s="22">
        <f>'4 WACC'!B27</f>
        <v>6.4760563380281688E-2</v>
      </c>
    </row>
    <row r="4" spans="1:12" ht="15" customHeight="1" x14ac:dyDescent="0.25">
      <c r="A4" s="8" t="s">
        <v>147</v>
      </c>
      <c r="B4" s="23">
        <f>'3 Forecast FCFF'!B15</f>
        <v>2767.1869963039999</v>
      </c>
      <c r="C4" s="23">
        <f>'3 Forecast FCFF'!C15</f>
        <v>2905.5463461191994</v>
      </c>
      <c r="D4" s="23">
        <f>'3 Forecast FCFF'!D15</f>
        <v>3079.879126886352</v>
      </c>
      <c r="E4" s="23">
        <f>'3 Forecast FCFF'!E15</f>
        <v>3295.4706657683964</v>
      </c>
      <c r="F4" s="23">
        <f>'3 Forecast FCFF'!F15</f>
        <v>3526.1536123721844</v>
      </c>
      <c r="G4" s="23">
        <f>'3 Forecast FCFF'!G15</f>
        <v>3737.7228291145152</v>
      </c>
      <c r="H4" s="23">
        <f>'3 Forecast FCFF'!H15</f>
        <v>3943.2975847158136</v>
      </c>
      <c r="I4" s="23">
        <f>'3 Forecast FCFF'!I15</f>
        <v>4140.4624639516051</v>
      </c>
      <c r="J4" s="23">
        <f>'3 Forecast FCFF'!J15</f>
        <v>4326.7832748294277</v>
      </c>
      <c r="K4" s="23">
        <f>'3 Forecast FCFF'!K15</f>
        <v>4499.8546058226048</v>
      </c>
    </row>
    <row r="5" spans="1:12" ht="15" customHeight="1" x14ac:dyDescent="0.25">
      <c r="A5" s="8" t="s">
        <v>148</v>
      </c>
      <c r="B5" s="26">
        <f>0+0.5</f>
        <v>0.5</v>
      </c>
      <c r="C5" s="26">
        <f>1+0.5</f>
        <v>1.5</v>
      </c>
      <c r="D5" s="26">
        <f>2+0.5</f>
        <v>2.5</v>
      </c>
      <c r="E5" s="26">
        <f>3+0.5</f>
        <v>3.5</v>
      </c>
      <c r="F5" s="26">
        <f>4+0.5</f>
        <v>4.5</v>
      </c>
      <c r="G5" s="26">
        <f>5+0.5</f>
        <v>5.5</v>
      </c>
      <c r="H5" s="26">
        <f>6+0.5</f>
        <v>6.5</v>
      </c>
      <c r="I5" s="26">
        <f>7+0.5</f>
        <v>7.5</v>
      </c>
      <c r="J5" s="26">
        <f>8+0.5</f>
        <v>8.5</v>
      </c>
      <c r="K5" s="26">
        <f>9+0.5</f>
        <v>9.5</v>
      </c>
    </row>
    <row r="6" spans="1:12" ht="15" customHeight="1" x14ac:dyDescent="0.25">
      <c r="A6" s="8" t="s">
        <v>149</v>
      </c>
      <c r="B6" s="27">
        <f>1/(1+B3)^B5</f>
        <v>0.96911211174962553</v>
      </c>
      <c r="C6" s="27">
        <f>1/(1+B3)^C5</f>
        <v>0.91016905122124148</v>
      </c>
      <c r="D6" s="27">
        <f>1/(1+B3)^D5</f>
        <v>0.85481100871330118</v>
      </c>
      <c r="E6" s="27">
        <f>1/(1+B3)^E5</f>
        <v>0.80281993728199663</v>
      </c>
      <c r="F6" s="27">
        <f>1/(1+B3)^F5</f>
        <v>0.75399105197256233</v>
      </c>
      <c r="G6" s="27">
        <f>1/(1+B3)^G5</f>
        <v>0.70813202320235868</v>
      </c>
      <c r="H6" s="27">
        <f>1/(1+B3)^H5</f>
        <v>0.6650622192037815</v>
      </c>
      <c r="I6" s="27">
        <f>1/(1+B3)^I5</f>
        <v>0.62461199454308958</v>
      </c>
      <c r="J6" s="27">
        <f>1/(1+B3)^J5</f>
        <v>0.58662202191274049</v>
      </c>
      <c r="K6" s="27">
        <f>1/(1+B3)^K5</f>
        <v>0.55094266456526075</v>
      </c>
    </row>
    <row r="7" spans="1:12" ht="15" customHeight="1" x14ac:dyDescent="0.25">
      <c r="A7" s="8" t="s">
        <v>150</v>
      </c>
      <c r="B7" s="28">
        <f t="shared" ref="B7:K7" si="0">B4*B6</f>
        <v>2681.7144335942726</v>
      </c>
      <c r="C7" s="28">
        <f t="shared" si="0"/>
        <v>2644.5383611266566</v>
      </c>
      <c r="D7" s="28">
        <f t="shared" si="0"/>
        <v>2632.714583168764</v>
      </c>
      <c r="E7" s="28">
        <f t="shared" si="0"/>
        <v>2645.6695532068438</v>
      </c>
      <c r="F7" s="28">
        <f t="shared" si="0"/>
        <v>2658.6882716093542</v>
      </c>
      <c r="G7" s="28">
        <f t="shared" si="0"/>
        <v>2646.8012291505056</v>
      </c>
      <c r="H7" s="28">
        <f t="shared" si="0"/>
        <v>2622.5382426720107</v>
      </c>
      <c r="I7" s="28">
        <f t="shared" si="0"/>
        <v>2586.1825179396074</v>
      </c>
      <c r="J7" s="28">
        <f t="shared" si="0"/>
        <v>2538.1863530586675</v>
      </c>
      <c r="K7" s="28">
        <f t="shared" si="0"/>
        <v>2479.1618866881668</v>
      </c>
    </row>
    <row r="8" spans="1:12" ht="7.5" customHeight="1" x14ac:dyDescent="0.25"/>
    <row r="9" spans="1:12" ht="23.25" customHeight="1" x14ac:dyDescent="0.25">
      <c r="A9" s="7" t="s">
        <v>151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</row>
    <row r="10" spans="1:12" ht="15" customHeight="1" x14ac:dyDescent="0.25">
      <c r="A10" s="8" t="s">
        <v>23</v>
      </c>
      <c r="B10" s="22">
        <f>'1 Assumptions'!B14</f>
        <v>2.5000000000000001E-2</v>
      </c>
    </row>
    <row r="11" spans="1:12" ht="15" customHeight="1" x14ac:dyDescent="0.25">
      <c r="A11" s="8" t="s">
        <v>152</v>
      </c>
      <c r="B11" s="23">
        <f>K4</f>
        <v>4499.8546058226048</v>
      </c>
    </row>
    <row r="12" spans="1:12" ht="15" customHeight="1" x14ac:dyDescent="0.25">
      <c r="A12" s="8" t="s">
        <v>153</v>
      </c>
      <c r="B12" s="29">
        <f>B11*(1+B10)</f>
        <v>4612.3509709681693</v>
      </c>
    </row>
    <row r="13" spans="1:12" ht="15" customHeight="1" x14ac:dyDescent="0.25">
      <c r="A13" s="8" t="s">
        <v>154</v>
      </c>
      <c r="B13" s="30">
        <f>B12/(B3-B10)</f>
        <v>116003.15938318812</v>
      </c>
    </row>
    <row r="14" spans="1:12" ht="15" customHeight="1" x14ac:dyDescent="0.25">
      <c r="A14" s="8" t="s">
        <v>155</v>
      </c>
      <c r="B14" s="31">
        <f>1/(1+B3)^10</f>
        <v>0.53392520910980534</v>
      </c>
    </row>
    <row r="15" spans="1:12" ht="15" customHeight="1" x14ac:dyDescent="0.25">
      <c r="A15" s="8" t="s">
        <v>156</v>
      </c>
      <c r="B15" s="30">
        <f>B13*B14</f>
        <v>61937.011131066793</v>
      </c>
    </row>
    <row r="16" spans="1:12" ht="7.5" customHeight="1" x14ac:dyDescent="0.25"/>
    <row r="17" spans="1:12" ht="15" customHeight="1" x14ac:dyDescent="0.25">
      <c r="A17" s="7" t="s">
        <v>157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12" ht="15" customHeight="1" x14ac:dyDescent="0.25">
      <c r="A18" s="8" t="s">
        <v>158</v>
      </c>
      <c r="B18" s="18">
        <f>SUM(B7:K7)</f>
        <v>26136.195432214849</v>
      </c>
    </row>
    <row r="19" spans="1:12" ht="15" customHeight="1" x14ac:dyDescent="0.25">
      <c r="A19" s="8" t="s">
        <v>159</v>
      </c>
      <c r="B19" s="18">
        <f>B15</f>
        <v>61937.011131066793</v>
      </c>
    </row>
    <row r="20" spans="1:12" ht="15" customHeight="1" x14ac:dyDescent="0.25">
      <c r="A20" s="14" t="s">
        <v>160</v>
      </c>
      <c r="B20" s="32">
        <f>B18+B19</f>
        <v>88073.206563281638</v>
      </c>
    </row>
    <row r="21" spans="1:12" ht="15" customHeight="1" x14ac:dyDescent="0.25">
      <c r="A21" s="8" t="s">
        <v>161</v>
      </c>
      <c r="B21" s="18">
        <f>'4 WACC'!B15-'4 WACC'!B16</f>
        <v>4.9999999999999975E-3</v>
      </c>
    </row>
    <row r="22" spans="1:12" ht="15" customHeight="1" x14ac:dyDescent="0.25">
      <c r="A22" s="8" t="s">
        <v>162</v>
      </c>
      <c r="B22" s="18">
        <f>B20-B21</f>
        <v>88073.201563281633</v>
      </c>
    </row>
    <row r="23" spans="1:12" ht="15" customHeight="1" x14ac:dyDescent="0.25">
      <c r="A23" s="8" t="s">
        <v>163</v>
      </c>
      <c r="B23" s="33">
        <f>'4 WACC'!B17</f>
        <v>4.4999999999999998E-2</v>
      </c>
    </row>
    <row r="24" spans="1:12" ht="15" customHeight="1" x14ac:dyDescent="0.25">
      <c r="A24" s="14" t="s">
        <v>164</v>
      </c>
      <c r="B24" s="34">
        <f>B22/B23</f>
        <v>1957182.2569618141</v>
      </c>
    </row>
    <row r="25" spans="1:12" ht="15" customHeight="1" x14ac:dyDescent="0.25">
      <c r="A25" s="8" t="s">
        <v>165</v>
      </c>
      <c r="B25" s="35">
        <f>'1 Assumptions'!B13</f>
        <v>0.04</v>
      </c>
    </row>
    <row r="26" spans="1:12" ht="15" customHeight="1" x14ac:dyDescent="0.25">
      <c r="A26" s="8" t="s">
        <v>166</v>
      </c>
      <c r="B26" s="36">
        <f>B24/B25-1</f>
        <v>48929555.424045354</v>
      </c>
    </row>
    <row r="27" spans="1:12" ht="7.5" customHeight="1" x14ac:dyDescent="0.25"/>
    <row r="28" spans="1:12" ht="15" customHeight="1" x14ac:dyDescent="0.25">
      <c r="A28" s="7" t="s">
        <v>167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</row>
    <row r="29" spans="1:12" ht="15" customHeight="1" x14ac:dyDescent="0.25">
      <c r="A29" s="8" t="s">
        <v>168</v>
      </c>
      <c r="B29" s="18">
        <f>B18</f>
        <v>26136.195432214849</v>
      </c>
    </row>
    <row r="30" spans="1:12" ht="15" customHeight="1" x14ac:dyDescent="0.25">
      <c r="A30" s="8" t="s">
        <v>169</v>
      </c>
      <c r="B30" s="17">
        <f>B29/B20</f>
        <v>0.29675535219029053</v>
      </c>
    </row>
    <row r="31" spans="1:12" ht="15" customHeight="1" x14ac:dyDescent="0.25">
      <c r="A31" s="8" t="s">
        <v>156</v>
      </c>
      <c r="B31" s="18">
        <f>B15</f>
        <v>61937.011131066793</v>
      </c>
    </row>
    <row r="32" spans="1:12" ht="15" customHeight="1" x14ac:dyDescent="0.25">
      <c r="A32" s="8" t="s">
        <v>169</v>
      </c>
      <c r="B32" s="17">
        <f>B31/B20</f>
        <v>0.70324464780970952</v>
      </c>
    </row>
  </sheetData>
  <mergeCells count="4">
    <mergeCell ref="A1:L1"/>
    <mergeCell ref="B9:L9"/>
    <mergeCell ref="B17:L17"/>
    <mergeCell ref="B28:L28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30"/>
  <sheetViews>
    <sheetView showGridLines="0" zoomScaleNormal="100" workbookViewId="0">
      <pane xSplit="1" ySplit="2" topLeftCell="B7" activePane="bottomRight" state="frozen"/>
      <selection pane="topRight" activeCell="B1" sqref="B1"/>
      <selection pane="bottomLeft" activeCell="A3" sqref="A3"/>
      <selection pane="bottomRight" activeCell="G18" sqref="G18"/>
    </sheetView>
  </sheetViews>
  <sheetFormatPr defaultColWidth="8.7109375" defaultRowHeight="15" x14ac:dyDescent="0.25"/>
  <cols>
    <col min="1" max="1" width="22" customWidth="1"/>
    <col min="2" max="11" width="14" customWidth="1"/>
  </cols>
  <sheetData>
    <row r="1" spans="1:11" ht="30" customHeight="1" x14ac:dyDescent="0.25">
      <c r="A1" s="6" t="s">
        <v>170</v>
      </c>
      <c r="B1" s="6"/>
      <c r="C1" s="6"/>
      <c r="D1" s="6"/>
      <c r="E1" s="6"/>
      <c r="F1" s="6"/>
      <c r="G1" s="6"/>
      <c r="H1" s="6"/>
      <c r="I1" s="6"/>
      <c r="J1" s="6"/>
      <c r="K1" s="6"/>
    </row>
    <row r="3" spans="1:11" ht="15" customHeight="1" x14ac:dyDescent="0.25">
      <c r="A3" s="7" t="s">
        <v>171</v>
      </c>
      <c r="B3" s="5"/>
      <c r="C3" s="5"/>
      <c r="D3" s="5"/>
      <c r="E3" s="5"/>
    </row>
    <row r="4" spans="1:11" ht="15" customHeight="1" x14ac:dyDescent="0.25">
      <c r="A4" s="14" t="s">
        <v>172</v>
      </c>
      <c r="B4" s="4">
        <f>'5 DCF Valuation'!B24</f>
        <v>1957182.2569618141</v>
      </c>
      <c r="C4" s="4"/>
      <c r="D4" s="4"/>
      <c r="E4" s="4"/>
    </row>
    <row r="5" spans="1:11" ht="15" customHeight="1" x14ac:dyDescent="0.25">
      <c r="A5" s="14" t="s">
        <v>173</v>
      </c>
      <c r="B5" s="3">
        <f>'5 DCF Valuation'!B20</f>
        <v>88073.206563281638</v>
      </c>
      <c r="C5" s="3"/>
      <c r="D5" s="3"/>
      <c r="E5" s="3"/>
    </row>
    <row r="6" spans="1:11" ht="15" customHeight="1" x14ac:dyDescent="0.25">
      <c r="A6" s="14" t="s">
        <v>162</v>
      </c>
      <c r="B6" s="3">
        <f>'5 DCF Valuation'!B22</f>
        <v>88073.201563281633</v>
      </c>
      <c r="C6" s="3"/>
      <c r="D6" s="3"/>
      <c r="E6" s="3"/>
    </row>
    <row r="7" spans="1:11" ht="15" customHeight="1" x14ac:dyDescent="0.25">
      <c r="A7" s="14" t="s">
        <v>174</v>
      </c>
      <c r="B7" s="2">
        <f>'4 WACC'!B27</f>
        <v>6.4760563380281688E-2</v>
      </c>
      <c r="C7" s="2"/>
      <c r="D7" s="2"/>
      <c r="E7" s="2"/>
    </row>
    <row r="8" spans="1:11" ht="15" customHeight="1" x14ac:dyDescent="0.25">
      <c r="A8" s="14" t="s">
        <v>175</v>
      </c>
      <c r="B8" s="2">
        <f>'1 Assumptions'!B14</f>
        <v>2.5000000000000001E-2</v>
      </c>
      <c r="C8" s="2"/>
      <c r="D8" s="2"/>
      <c r="E8" s="2"/>
    </row>
    <row r="9" spans="1:11" ht="15" customHeight="1" x14ac:dyDescent="0.25">
      <c r="A9" s="14" t="s">
        <v>168</v>
      </c>
      <c r="B9" s="3">
        <f>'5 DCF Valuation'!B29</f>
        <v>26136.195432214849</v>
      </c>
      <c r="C9" s="3"/>
      <c r="D9" s="3"/>
      <c r="E9" s="3"/>
    </row>
    <row r="10" spans="1:11" ht="15" customHeight="1" x14ac:dyDescent="0.25">
      <c r="A10" s="14" t="s">
        <v>156</v>
      </c>
      <c r="B10" s="3">
        <f>'5 DCF Valuation'!B31</f>
        <v>61937.011131066793</v>
      </c>
      <c r="C10" s="3"/>
      <c r="D10" s="3"/>
      <c r="E10" s="3"/>
    </row>
    <row r="11" spans="1:11" ht="15" customHeight="1" x14ac:dyDescent="0.25">
      <c r="A11" s="14" t="s">
        <v>176</v>
      </c>
      <c r="B11" s="1">
        <f>'5 DCF Valuation'!B32</f>
        <v>0.70324464780970952</v>
      </c>
      <c r="C11" s="1"/>
      <c r="D11" s="1"/>
      <c r="E11" s="1"/>
    </row>
    <row r="12" spans="1:11" ht="15" customHeight="1" x14ac:dyDescent="0.25">
      <c r="A12" s="14" t="s">
        <v>177</v>
      </c>
      <c r="B12" s="4">
        <f>'1 Assumptions'!B13</f>
        <v>0.04</v>
      </c>
      <c r="C12" s="4"/>
      <c r="D12" s="4"/>
      <c r="E12" s="4"/>
    </row>
    <row r="13" spans="1:11" ht="15" customHeight="1" x14ac:dyDescent="0.25">
      <c r="A13" s="14" t="s">
        <v>178</v>
      </c>
      <c r="B13" s="1">
        <f>'5 DCF Valuation'!B26</f>
        <v>48929555.424045354</v>
      </c>
      <c r="C13" s="1"/>
      <c r="D13" s="1"/>
      <c r="E13" s="1"/>
    </row>
    <row r="14" spans="1:11" ht="15" customHeight="1" x14ac:dyDescent="0.25">
      <c r="A14" s="14" t="s">
        <v>179</v>
      </c>
      <c r="B14" s="3">
        <f>'2 Historical'!F3</f>
        <v>36176.199999999997</v>
      </c>
      <c r="C14" s="3"/>
      <c r="D14" s="3"/>
      <c r="E14" s="3"/>
    </row>
    <row r="15" spans="1:11" ht="15" customHeight="1" x14ac:dyDescent="0.25">
      <c r="A15" s="14" t="s">
        <v>180</v>
      </c>
      <c r="B15" s="3">
        <f>'2 Historical'!F4</f>
        <v>5016</v>
      </c>
      <c r="C15" s="3"/>
      <c r="D15" s="3"/>
      <c r="E15" s="3"/>
    </row>
    <row r="16" spans="1:11" ht="9.75" customHeight="1" x14ac:dyDescent="0.25"/>
    <row r="17" spans="1:11" ht="27.75" customHeight="1" x14ac:dyDescent="0.25">
      <c r="A17" s="6" t="s">
        <v>181</v>
      </c>
      <c r="B17" s="6"/>
      <c r="C17" s="6"/>
      <c r="D17" s="6"/>
      <c r="E17" s="6"/>
      <c r="F17" s="6"/>
      <c r="G17" s="6"/>
      <c r="H17" s="6"/>
      <c r="I17" s="6"/>
      <c r="J17" s="6"/>
      <c r="K17" s="6"/>
    </row>
    <row r="18" spans="1:11" ht="19.5" customHeight="1" x14ac:dyDescent="0.25">
      <c r="A18" s="14" t="s">
        <v>182</v>
      </c>
      <c r="B18" s="37">
        <f>'4 WACC'!B27+(-0.02)</f>
        <v>4.4760563380281684E-2</v>
      </c>
      <c r="C18" s="37">
        <f>'4 WACC'!B27+(-0.01)</f>
        <v>5.4760563380281686E-2</v>
      </c>
      <c r="D18" s="37">
        <f>'4 WACC'!B27+(0)</f>
        <v>6.4760563380281688E-2</v>
      </c>
      <c r="E18" s="37">
        <f>'4 WACC'!B27+(0.01)</f>
        <v>7.4760563380281683E-2</v>
      </c>
      <c r="F18" s="37">
        <f>'4 WACC'!B27+(0.02)</f>
        <v>8.4760563380281692E-2</v>
      </c>
      <c r="G18" s="14" t="s">
        <v>183</v>
      </c>
    </row>
    <row r="19" spans="1:11" ht="15" customHeight="1" x14ac:dyDescent="0.25">
      <c r="A19" s="37">
        <f>'1 Assumptions'!B14+(-0.01)</f>
        <v>1.5000000000000001E-2</v>
      </c>
      <c r="B19" s="35">
        <f>('3 Forecast FCFF'!B15/(1+B18)^0.5+'3 Forecast FCFF'!C15/(1+B18)^1.5+'3 Forecast FCFF'!D15/(1+B18)^2.5+'3 Forecast FCFF'!E15/(1+B18)^3.5+'3 Forecast FCFF'!F15/(1+B18)^4.5+'3 Forecast FCFF'!G15/(1+B18)^5.5+'3 Forecast FCFF'!H15/(1+B18)^6.5+'3 Forecast FCFF'!I15/(1+B18)^7.5+'3 Forecast FCFF'!J15/(1+B18)^8.5+'3 Forecast FCFF'!K15/(1+B18)^9.5+'3 Forecast FCFF'!K15*(1+A19)/(B18-A19)/(1+B18)^10-('4 WACC'!B15-'4 WACC'!B16))/'4 WACC'!B17</f>
        <v>2839954.3917732658</v>
      </c>
      <c r="C19" s="35">
        <f>('3 Forecast FCFF'!B15/(1+C18)^0.5+'3 Forecast FCFF'!C15/(1+C18)^1.5+'3 Forecast FCFF'!D15/(1+C18)^2.5+'3 Forecast FCFF'!E15/(1+C18)^3.5+'3 Forecast FCFF'!F15/(1+C18)^4.5+'3 Forecast FCFF'!G15/(1+C18)^5.5+'3 Forecast FCFF'!H15/(1+C18)^6.5+'3 Forecast FCFF'!I15/(1+C18)^7.5+'3 Forecast FCFF'!J15/(1+C18)^8.5+'3 Forecast FCFF'!K15/(1+C18)^9.5+'3 Forecast FCFF'!K15*(1+A19)/(C18-A19)/(1+C18)^10-('4 WACC'!B15-'4 WACC'!B16))/'4 WACC'!B17</f>
        <v>2106592.2907577744</v>
      </c>
      <c r="D19" s="35">
        <f>('3 Forecast FCFF'!B15/(1+D18)^0.5+'3 Forecast FCFF'!C15/(1+D18)^1.5+'3 Forecast FCFF'!D15/(1+D18)^2.5+'3 Forecast FCFF'!E15/(1+D18)^3.5+'3 Forecast FCFF'!F15/(1+D18)^4.5+'3 Forecast FCFF'!G15/(1+D18)^5.5+'3 Forecast FCFF'!H15/(1+D18)^6.5+'3 Forecast FCFF'!I15/(1+D18)^7.5+'3 Forecast FCFF'!J15/(1+D18)^8.5+'3 Forecast FCFF'!K15/(1+D18)^9.5+'3 Forecast FCFF'!K15*(1+A19)/(D18-A19)/(1+D18)^10-('4 WACC'!B15-'4 WACC'!B16))/'4 WACC'!B17</f>
        <v>1669852.5476865021</v>
      </c>
      <c r="E19" s="35">
        <f>('3 Forecast FCFF'!B15/(1+E18)^0.5+'3 Forecast FCFF'!C15/(1+E18)^1.5+'3 Forecast FCFF'!D15/(1+E18)^2.5+'3 Forecast FCFF'!E15/(1+E18)^3.5+'3 Forecast FCFF'!F15/(1+E18)^4.5+'3 Forecast FCFF'!G15/(1+E18)^5.5+'3 Forecast FCFF'!H15/(1+E18)^6.5+'3 Forecast FCFF'!I15/(1+E18)^7.5+'3 Forecast FCFF'!J15/(1+E18)^8.5+'3 Forecast FCFF'!K15/(1+E18)^9.5+'3 Forecast FCFF'!K15*(1+A19)/(E18-A19)/(1+E18)^10-('4 WACC'!B15-'4 WACC'!B16))/'4 WACC'!B17</f>
        <v>1380652.0163005504</v>
      </c>
      <c r="F19" s="35">
        <f>('3 Forecast FCFF'!B15/(1+F18)^0.5+'3 Forecast FCFF'!C15/(1+F18)^1.5+'3 Forecast FCFF'!D15/(1+F18)^2.5+'3 Forecast FCFF'!E15/(1+F18)^3.5+'3 Forecast FCFF'!F15/(1+F18)^4.5+'3 Forecast FCFF'!G15/(1+F18)^5.5+'3 Forecast FCFF'!H15/(1+F18)^6.5+'3 Forecast FCFF'!I15/(1+F18)^7.5+'3 Forecast FCFF'!J15/(1+F18)^8.5+'3 Forecast FCFF'!K15/(1+F18)^9.5+'3 Forecast FCFF'!K15*(1+A19)/(F18-A19)/(1+F18)^10-('4 WACC'!B15-'4 WACC'!B16))/'4 WACC'!B17</f>
        <v>1175409.5757098882</v>
      </c>
    </row>
    <row r="20" spans="1:11" ht="15" customHeight="1" x14ac:dyDescent="0.25">
      <c r="A20" s="37">
        <f>'1 Assumptions'!B14+(-0.005)</f>
        <v>0.02</v>
      </c>
      <c r="B20" s="35">
        <f>('3 Forecast FCFF'!B15/(1+B18)^0.5+'3 Forecast FCFF'!C15/(1+B18)^1.5+'3 Forecast FCFF'!D15/(1+B18)^2.5+'3 Forecast FCFF'!E15/(1+B18)^3.5+'3 Forecast FCFF'!F15/(1+B18)^4.5+'3 Forecast FCFF'!G15/(1+B18)^5.5+'3 Forecast FCFF'!H15/(1+B18)^6.5+'3 Forecast FCFF'!I15/(1+B18)^7.5+'3 Forecast FCFF'!J15/(1+B18)^8.5+'3 Forecast FCFF'!K15/(1+B18)^9.5+'3 Forecast FCFF'!K15*(1+A20)/(B18-A20)/(1+B18)^10-('4 WACC'!B15-'4 WACC'!B16))/'4 WACC'!B17</f>
        <v>3297467.3125184905</v>
      </c>
      <c r="C20" s="35">
        <f>('3 Forecast FCFF'!B15/(1+C18)^0.5+'3 Forecast FCFF'!C15/(1+C18)^1.5+'3 Forecast FCFF'!D15/(1+C18)^2.5+'3 Forecast FCFF'!E15/(1+C18)^3.5+'3 Forecast FCFF'!F15/(1+C18)^4.5+'3 Forecast FCFF'!G15/(1+C18)^5.5+'3 Forecast FCFF'!H15/(1+C18)^6.5+'3 Forecast FCFF'!I15/(1+C18)^7.5+'3 Forecast FCFF'!J15/(1+C18)^8.5+'3 Forecast FCFF'!K15/(1+C18)^9.5+'3 Forecast FCFF'!K15*(1+A20)/(C18-A20)/(1+C18)^10-('4 WACC'!B15-'4 WACC'!B16))/'4 WACC'!B17</f>
        <v>2330480.7380422293</v>
      </c>
      <c r="D20" s="35">
        <f>('3 Forecast FCFF'!B15/(1+D18)^0.5+'3 Forecast FCFF'!C15/(1+D18)^1.5+'3 Forecast FCFF'!D15/(1+D18)^2.5+'3 Forecast FCFF'!E15/(1+D18)^3.5+'3 Forecast FCFF'!F15/(1+D18)^4.5+'3 Forecast FCFF'!G15/(1+D18)^5.5+'3 Forecast FCFF'!H15/(1+D18)^6.5+'3 Forecast FCFF'!I15/(1+D18)^7.5+'3 Forecast FCFF'!J15/(1+D18)^8.5+'3 Forecast FCFF'!K15/(1+D18)^9.5+'3 Forecast FCFF'!K15*(1+A20)/(D18-A20)/(1+D18)^10-('4 WACC'!B15-'4 WACC'!B16))/'4 WACC'!B17</f>
        <v>1797469.2514757107</v>
      </c>
      <c r="E20" s="35">
        <f>('3 Forecast FCFF'!B15/(1+E18)^0.5+'3 Forecast FCFF'!C15/(1+E18)^1.5+'3 Forecast FCFF'!D15/(1+E18)^2.5+'3 Forecast FCFF'!E15/(1+E18)^3.5+'3 Forecast FCFF'!F15/(1+E18)^4.5+'3 Forecast FCFF'!G15/(1+E18)^5.5+'3 Forecast FCFF'!H15/(1+E18)^6.5+'3 Forecast FCFF'!I15/(1+E18)^7.5+'3 Forecast FCFF'!J15/(1+E18)^8.5+'3 Forecast FCFF'!K15/(1+E18)^9.5+'3 Forecast FCFF'!K15*(1+A20)/(E18-A20)/(1+E18)^10-('4 WACC'!B15-'4 WACC'!B16))/'4 WACC'!B17</f>
        <v>1460500.721975799</v>
      </c>
      <c r="F20" s="35">
        <f>('3 Forecast FCFF'!B15/(1+F18)^0.5+'3 Forecast FCFF'!C15/(1+F18)^1.5+'3 Forecast FCFF'!D15/(1+F18)^2.5+'3 Forecast FCFF'!E15/(1+F18)^3.5+'3 Forecast FCFF'!F15/(1+F18)^4.5+'3 Forecast FCFF'!G15/(1+F18)^5.5+'3 Forecast FCFF'!H15/(1+F18)^6.5+'3 Forecast FCFF'!I15/(1+F18)^7.5+'3 Forecast FCFF'!J15/(1+F18)^8.5+'3 Forecast FCFF'!K15/(1+F18)^9.5+'3 Forecast FCFF'!K15*(1+A20)/(F18-A20)/(1+F18)^10-('4 WACC'!B15-'4 WACC'!B16))/'4 WACC'!B17</f>
        <v>1228624.124352806</v>
      </c>
    </row>
    <row r="21" spans="1:11" ht="15" customHeight="1" x14ac:dyDescent="0.25">
      <c r="A21" s="37">
        <f>'1 Assumptions'!B14+(0)</f>
        <v>2.5000000000000001E-2</v>
      </c>
      <c r="B21" s="35">
        <f>('3 Forecast FCFF'!B15/(1+B18)^0.5+'3 Forecast FCFF'!C15/(1+B18)^1.5+'3 Forecast FCFF'!D15/(1+B18)^2.5+'3 Forecast FCFF'!E15/(1+B18)^3.5+'3 Forecast FCFF'!F15/(1+B18)^4.5+'3 Forecast FCFF'!G15/(1+B18)^5.5+'3 Forecast FCFF'!H15/(1+B18)^6.5+'3 Forecast FCFF'!I15/(1+B18)^7.5+'3 Forecast FCFF'!J15/(1+B18)^8.5+'3 Forecast FCFF'!K15/(1+B18)^9.5+'3 Forecast FCFF'!K15*(1+A21)/(B18-A21)/(1+B18)^10-('4 WACC'!B15-'4 WACC'!B16))/'4 WACC'!B17</f>
        <v>3986508.5110464026</v>
      </c>
      <c r="C21" s="35">
        <f>('3 Forecast FCFF'!B15/(1+C18)^0.5+'3 Forecast FCFF'!C15/(1+C18)^1.5+'3 Forecast FCFF'!D15/(1+C18)^2.5+'3 Forecast FCFF'!E15/(1+C18)^3.5+'3 Forecast FCFF'!F15/(1+C18)^4.5+'3 Forecast FCFF'!G15/(1+C18)^5.5+'3 Forecast FCFF'!H15/(1+C18)^6.5+'3 Forecast FCFF'!I15/(1+C18)^7.5+'3 Forecast FCFF'!J15/(1+C18)^8.5+'3 Forecast FCFF'!K15/(1+C18)^9.5+'3 Forecast FCFF'!K15*(1+A21)/(C18-A21)/(1+C18)^10-('4 WACC'!B15-'4 WACC'!B16))/'4 WACC'!B17</f>
        <v>2629599.0942580444</v>
      </c>
      <c r="D21" s="38">
        <f>('3 Forecast FCFF'!B15/(1+D18)^0.5+'3 Forecast FCFF'!C15/(1+D18)^1.5+'3 Forecast FCFF'!D15/(1+D18)^2.5+'3 Forecast FCFF'!E15/(1+D18)^3.5+'3 Forecast FCFF'!F15/(1+D18)^4.5+'3 Forecast FCFF'!G15/(1+D18)^5.5+'3 Forecast FCFF'!H15/(1+D18)^6.5+'3 Forecast FCFF'!I15/(1+D18)^7.5+'3 Forecast FCFF'!J15/(1+D18)^8.5+'3 Forecast FCFF'!K15/(1+D18)^9.5+'3 Forecast FCFF'!K15*(1+A21)/(D18-A21)/(1+D18)^10-('4 WACC'!B15-'4 WACC'!B16))/'4 WACC'!B17</f>
        <v>1957182.2569618144</v>
      </c>
      <c r="E21" s="35">
        <f>('3 Forecast FCFF'!B15/(1+E18)^0.5+'3 Forecast FCFF'!C15/(1+E18)^1.5+'3 Forecast FCFF'!D15/(1+E18)^2.5+'3 Forecast FCFF'!E15/(1+E18)^3.5+'3 Forecast FCFF'!F15/(1+E18)^4.5+'3 Forecast FCFF'!G15/(1+E18)^5.5+'3 Forecast FCFF'!H15/(1+E18)^6.5+'3 Forecast FCFF'!I15/(1+E18)^7.5+'3 Forecast FCFF'!J15/(1+E18)^8.5+'3 Forecast FCFF'!K15/(1+E18)^9.5+'3 Forecast FCFF'!K15*(1+A21)/(E18-A21)/(1+E18)^10-('4 WACC'!B15-'4 WACC'!B16))/'4 WACC'!B17</f>
        <v>1556396.0115823883</v>
      </c>
      <c r="F21" s="35">
        <f>('3 Forecast FCFF'!B15/(1+F18)^0.5+'3 Forecast FCFF'!C15/(1+F18)^1.5+'3 Forecast FCFF'!D15/(1+F18)^2.5+'3 Forecast FCFF'!E15/(1+F18)^3.5+'3 Forecast FCFF'!F15/(1+F18)^4.5+'3 Forecast FCFF'!G15/(1+F18)^5.5+'3 Forecast FCFF'!H15/(1+F18)^6.5+'3 Forecast FCFF'!I15/(1+F18)^7.5+'3 Forecast FCFF'!J15/(1+F18)^8.5+'3 Forecast FCFF'!K15/(1+F18)^9.5+'3 Forecast FCFF'!K15*(1+A21)/(F18-A21)/(1+F18)^10-('4 WACC'!B15-'4 WACC'!B16))/'4 WACC'!B17</f>
        <v>1290743.2993300322</v>
      </c>
    </row>
    <row r="22" spans="1:11" ht="15" customHeight="1" x14ac:dyDescent="0.25">
      <c r="A22" s="37">
        <f>'1 Assumptions'!B14+(0.005)</f>
        <v>3.0000000000000002E-2</v>
      </c>
      <c r="B22" s="35">
        <f>('3 Forecast FCFF'!B15/(1+B18)^0.5+'3 Forecast FCFF'!C15/(1+B18)^1.5+'3 Forecast FCFF'!D15/(1+B18)^2.5+'3 Forecast FCFF'!E15/(1+B18)^3.5+'3 Forecast FCFF'!F15/(1+B18)^4.5+'3 Forecast FCFF'!G15/(1+B18)^5.5+'3 Forecast FCFF'!H15/(1+B18)^6.5+'3 Forecast FCFF'!I15/(1+B18)^7.5+'3 Forecast FCFF'!J15/(1+B18)^8.5+'3 Forecast FCFF'!K15/(1+B18)^9.5+'3 Forecast FCFF'!K15*(1+A22)/(B18-A22)/(1+B18)^10-('4 WACC'!B15-'4 WACC'!B16))/'4 WACC'!B17</f>
        <v>5142361.9719357826</v>
      </c>
      <c r="C22" s="35">
        <f>('3 Forecast FCFF'!B15/(1+C18)^0.5+'3 Forecast FCFF'!C15/(1+C18)^1.5+'3 Forecast FCFF'!D15/(1+C18)^2.5+'3 Forecast FCFF'!E15/(1+C18)^3.5+'3 Forecast FCFF'!F15/(1+C18)^4.5+'3 Forecast FCFF'!G15/(1+C18)^5.5+'3 Forecast FCFF'!H15/(1+C18)^6.5+'3 Forecast FCFF'!I15/(1+C18)^7.5+'3 Forecast FCFF'!J15/(1+C18)^8.5+'3 Forecast FCFF'!K15/(1+C18)^9.5+'3 Forecast FCFF'!K15*(1+A22)/(C18-A22)/(1+C18)^10-('4 WACC'!B15-'4 WACC'!B16))/'4 WACC'!B17</f>
        <v>3049521.7922902568</v>
      </c>
      <c r="D22" s="35">
        <f>('3 Forecast FCFF'!B15/(1+D18)^0.5+'3 Forecast FCFF'!C15/(1+D18)^1.5+'3 Forecast FCFF'!D15/(1+D18)^2.5+'3 Forecast FCFF'!E15/(1+D18)^3.5+'3 Forecast FCFF'!F15/(1+D18)^4.5+'3 Forecast FCFF'!G15/(1+D18)^5.5+'3 Forecast FCFF'!H15/(1+D18)^6.5+'3 Forecast FCFF'!I15/(1+D18)^7.5+'3 Forecast FCFF'!J15/(1+D18)^8.5+'3 Forecast FCFF'!K15/(1+D18)^9.5+'3 Forecast FCFF'!K15*(1+A22)/(D18-A22)/(1+D18)^10-('4 WACC'!B15-'4 WACC'!B16))/'4 WACC'!B17</f>
        <v>2162841.8726161248</v>
      </c>
      <c r="E22" s="35">
        <f>('3 Forecast FCFF'!B15/(1+E18)^0.5+'3 Forecast FCFF'!C15/(1+E18)^1.5+'3 Forecast FCFF'!D15/(1+E18)^2.5+'3 Forecast FCFF'!E15/(1+E18)^3.5+'3 Forecast FCFF'!F15/(1+E18)^4.5+'3 Forecast FCFF'!G15/(1+E18)^5.5+'3 Forecast FCFF'!H15/(1+E18)^6.5+'3 Forecast FCFF'!I15/(1+E18)^7.5+'3 Forecast FCFF'!J15/(1+E18)^8.5+'3 Forecast FCFF'!K15/(1+E18)^9.5+'3 Forecast FCFF'!K15*(1+A22)/(E18-A22)/(1+E18)^10-('4 WACC'!B15-'4 WACC'!B16))/'4 WACC'!B17</f>
        <v>1673715.3589676679</v>
      </c>
      <c r="F22" s="35">
        <f>('3 Forecast FCFF'!B15/(1+F18)^0.5+'3 Forecast FCFF'!C15/(1+F18)^1.5+'3 Forecast FCFF'!D15/(1+F18)^2.5+'3 Forecast FCFF'!E15/(1+F18)^3.5+'3 Forecast FCFF'!F15/(1+F18)^4.5+'3 Forecast FCFF'!G15/(1+F18)^5.5+'3 Forecast FCFF'!H15/(1+F18)^6.5+'3 Forecast FCFF'!I15/(1+F18)^7.5+'3 Forecast FCFF'!J15/(1+F18)^8.5+'3 Forecast FCFF'!K15/(1+F18)^9.5+'3 Forecast FCFF'!K15*(1+A22)/(F18-A22)/(1+F18)^10-('4 WACC'!B15-'4 WACC'!B16))/'4 WACC'!B17</f>
        <v>1364206.2536883876</v>
      </c>
    </row>
    <row r="23" spans="1:11" ht="15" customHeight="1" x14ac:dyDescent="0.25">
      <c r="A23" s="37">
        <f>'1 Assumptions'!B14+(0.01)</f>
        <v>3.5000000000000003E-2</v>
      </c>
      <c r="B23" s="35">
        <f>('3 Forecast FCFF'!B15/(1+B18)^0.5+'3 Forecast FCFF'!C15/(1+B18)^1.5+'3 Forecast FCFF'!D15/(1+B18)^2.5+'3 Forecast FCFF'!E15/(1+B18)^3.5+'3 Forecast FCFF'!F15/(1+B18)^4.5+'3 Forecast FCFF'!G15/(1+B18)^5.5+'3 Forecast FCFF'!H15/(1+B18)^6.5+'3 Forecast FCFF'!I15/(1+B18)^7.5+'3 Forecast FCFF'!J15/(1+B18)^8.5+'3 Forecast FCFF'!K15/(1+B18)^9.5+'3 Forecast FCFF'!K15*(1+A23)/(B18-A23)/(1+B18)^10-('4 WACC'!B15-'4 WACC'!B16))/'4 WACC'!B17</f>
        <v>7482423.1633178927</v>
      </c>
      <c r="C23" s="35">
        <f>('3 Forecast FCFF'!B15/(1+C18)^0.5+'3 Forecast FCFF'!C15/(1+C18)^1.5+'3 Forecast FCFF'!D15/(1+C18)^2.5+'3 Forecast FCFF'!E15/(1+C18)^3.5+'3 Forecast FCFF'!F15/(1+C18)^4.5+'3 Forecast FCFF'!G15/(1+C18)^5.5+'3 Forecast FCFF'!H15/(1+C18)^6.5+'3 Forecast FCFF'!I15/(1+C18)^7.5+'3 Forecast FCFF'!J15/(1+C18)^8.5+'3 Forecast FCFF'!K15/(1+C18)^9.5+'3 Forecast FCFF'!K15*(1+A23)/(C18-A23)/(1+C18)^10-('4 WACC'!B15-'4 WACC'!B16))/'4 WACC'!B17</f>
        <v>3681949.9184071966</v>
      </c>
      <c r="D23" s="35">
        <f>('3 Forecast FCFF'!B15/(1+D18)^0.5+'3 Forecast FCFF'!C15/(1+D18)^1.5+'3 Forecast FCFF'!D15/(1+D18)^2.5+'3 Forecast FCFF'!E15/(1+D18)^3.5+'3 Forecast FCFF'!F15/(1+D18)^4.5+'3 Forecast FCFF'!G15/(1+D18)^5.5+'3 Forecast FCFF'!H15/(1+D18)^6.5+'3 Forecast FCFF'!I15/(1+D18)^7.5+'3 Forecast FCFF'!J15/(1+D18)^8.5+'3 Forecast FCFF'!K15/(1+D18)^9.5+'3 Forecast FCFF'!K15*(1+A23)/(D18-A23)/(1+D18)^10-('4 WACC'!B15-'4 WACC'!B16))/'4 WACC'!B17</f>
        <v>2437606.2337103602</v>
      </c>
      <c r="E23" s="35">
        <f>('3 Forecast FCFF'!B15/(1+E18)^0.5+'3 Forecast FCFF'!C15/(1+E18)^1.5+'3 Forecast FCFF'!D15/(1+E18)^2.5+'3 Forecast FCFF'!E15/(1+E18)^3.5+'3 Forecast FCFF'!F15/(1+E18)^4.5+'3 Forecast FCFF'!G15/(1+E18)^5.5+'3 Forecast FCFF'!H15/(1+E18)^6.5+'3 Forecast FCFF'!I15/(1+E18)^7.5+'3 Forecast FCFF'!J15/(1+E18)^8.5+'3 Forecast FCFF'!K15/(1+E18)^9.5+'3 Forecast FCFF'!K15*(1+A23)/(E18-A23)/(1+E18)^10-('4 WACC'!B15-'4 WACC'!B16))/'4 WACC'!B17</f>
        <v>1820541.1663754592</v>
      </c>
      <c r="F23" s="35">
        <f>('3 Forecast FCFF'!B15/(1+F18)^0.5+'3 Forecast FCFF'!C15/(1+F18)^1.5+'3 Forecast FCFF'!D15/(1+F18)^2.5+'3 Forecast FCFF'!E15/(1+F18)^3.5+'3 Forecast FCFF'!F15/(1+F18)^4.5+'3 Forecast FCFF'!G15/(1+F18)^5.5+'3 Forecast FCFF'!H15/(1+F18)^6.5+'3 Forecast FCFF'!I15/(1+F18)^7.5+'3 Forecast FCFF'!J15/(1+F18)^8.5+'3 Forecast FCFF'!K15/(1+F18)^9.5+'3 Forecast FCFF'!K15*(1+A23)/(F18-A23)/(1+F18)^10-('4 WACC'!B15-'4 WACC'!B16))/'4 WACC'!B17</f>
        <v>1452432.4963553853</v>
      </c>
    </row>
    <row r="25" spans="1:11" ht="9.75" customHeight="1" x14ac:dyDescent="0.25"/>
    <row r="26" spans="1:11" ht="15" customHeight="1" x14ac:dyDescent="0.25">
      <c r="A26" s="6" t="s">
        <v>184</v>
      </c>
      <c r="B26" s="6"/>
      <c r="C26" s="6"/>
      <c r="D26" s="6"/>
      <c r="E26" s="6"/>
      <c r="F26" s="6"/>
      <c r="G26" s="6"/>
      <c r="H26" s="6"/>
      <c r="I26" s="6"/>
      <c r="J26" s="6"/>
      <c r="K26" s="6"/>
    </row>
    <row r="27" spans="1:11" ht="15" customHeight="1" x14ac:dyDescent="0.25">
      <c r="A27" s="15" t="s">
        <v>185</v>
      </c>
      <c r="B27" s="15" t="s">
        <v>186</v>
      </c>
      <c r="C27" s="15" t="s">
        <v>187</v>
      </c>
      <c r="D27" s="15" t="s">
        <v>188</v>
      </c>
    </row>
    <row r="28" spans="1:11" ht="15" customHeight="1" x14ac:dyDescent="0.25">
      <c r="A28" s="8" t="s">
        <v>189</v>
      </c>
      <c r="B28" s="35">
        <f>'6 Sensitivity Dashboard'!B23</f>
        <v>7482423.1633178927</v>
      </c>
      <c r="C28" s="35">
        <f>'5 DCF Valuation'!B24</f>
        <v>1957182.2569618141</v>
      </c>
      <c r="D28" s="35">
        <f>'6 Sensitivity Dashboard'!F19</f>
        <v>1175409.5757098882</v>
      </c>
    </row>
    <row r="29" spans="1:11" ht="15" customHeight="1" x14ac:dyDescent="0.25">
      <c r="A29" s="8" t="s">
        <v>177</v>
      </c>
      <c r="B29" s="24">
        <f>'1 Assumptions'!B13</f>
        <v>0.04</v>
      </c>
      <c r="C29" s="24">
        <f>'1 Assumptions'!B13</f>
        <v>0.04</v>
      </c>
      <c r="D29" s="24">
        <f>'1 Assumptions'!B13</f>
        <v>0.04</v>
      </c>
    </row>
    <row r="30" spans="1:11" ht="15" customHeight="1" x14ac:dyDescent="0.25">
      <c r="A30" s="8" t="s">
        <v>190</v>
      </c>
      <c r="B30" s="39">
        <f>'5 DCF Valuation'!B20/'3 Forecast FCFF'!B5</f>
        <v>13.50658602493457</v>
      </c>
      <c r="C30" s="39">
        <f>'5 DCF Valuation'!B20/'3 Forecast FCFF'!B5</f>
        <v>13.50658602493457</v>
      </c>
      <c r="D30" s="39">
        <f>'5 DCF Valuation'!B20/'3 Forecast FCFF'!B5</f>
        <v>13.50658602493457</v>
      </c>
    </row>
  </sheetData>
  <mergeCells count="16">
    <mergeCell ref="A26:K26"/>
    <mergeCell ref="B12:E12"/>
    <mergeCell ref="B13:E13"/>
    <mergeCell ref="B14:E14"/>
    <mergeCell ref="B15:E15"/>
    <mergeCell ref="A17:K17"/>
    <mergeCell ref="B7:E7"/>
    <mergeCell ref="B8:E8"/>
    <mergeCell ref="B9:E9"/>
    <mergeCell ref="B10:E10"/>
    <mergeCell ref="B11:E11"/>
    <mergeCell ref="A1:K1"/>
    <mergeCell ref="B3:E3"/>
    <mergeCell ref="B4:E4"/>
    <mergeCell ref="B5:E5"/>
    <mergeCell ref="B6:E6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 Assumptions</vt:lpstr>
      <vt:lpstr>2 Historical</vt:lpstr>
      <vt:lpstr>3 Forecast FCFF</vt:lpstr>
      <vt:lpstr>4 WACC</vt:lpstr>
      <vt:lpstr>5 DCF Valuation</vt:lpstr>
      <vt:lpstr>6 Sensitivity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nikita chauhan</cp:lastModifiedBy>
  <cp:revision>0</cp:revision>
  <dcterms:created xsi:type="dcterms:W3CDTF">2026-04-07T14:42:35Z</dcterms:created>
  <dcterms:modified xsi:type="dcterms:W3CDTF">2026-04-07T16:23:19Z</dcterms:modified>
  <dc:language>en-US</dc:language>
</cp:coreProperties>
</file>